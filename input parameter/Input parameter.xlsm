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Forschung\Forschung AG Endres\2019\01 sICH tPA selection\"/>
    </mc:Choice>
  </mc:AlternateContent>
  <bookViews>
    <workbookView xWindow="0" yWindow="0" windowWidth="23940" windowHeight="9195" activeTab="6"/>
  </bookViews>
  <sheets>
    <sheet name="Main" sheetId="15" r:id="rId1"/>
    <sheet name="pCMB age" sheetId="14" r:id="rId2"/>
    <sheet name="outcome IVT delay" sheetId="16" r:id="rId3"/>
    <sheet name="Utility weights" sheetId="12" r:id="rId4"/>
    <sheet name="Outcome age" sheetId="17" r:id="rId5"/>
    <sheet name="outcome sICH" sheetId="4" r:id="rId6"/>
    <sheet name="OR IVT effect age" sheetId="20" r:id="rId7"/>
  </sheets>
  <functionGroups builtInGroupCount="18"/>
  <definedNames>
    <definedName name="solver_adj" localSheetId="5" hidden="1">'outcome sICH'!$S$32</definedName>
    <definedName name="solver_cvg" localSheetId="5" hidden="1">0.0001</definedName>
    <definedName name="solver_drv" localSheetId="5" hidden="1">2</definedName>
    <definedName name="solver_eng" localSheetId="5" hidden="1">1</definedName>
    <definedName name="solver_est" localSheetId="5" hidden="1">1</definedName>
    <definedName name="solver_itr" localSheetId="5" hidden="1">2147483647</definedName>
    <definedName name="solver_lhs1" localSheetId="5" hidden="1">'outcome sICH'!$AC$26</definedName>
    <definedName name="solver_lhs2" localSheetId="5" hidden="1">'outcome sICH'!$AC$26</definedName>
    <definedName name="solver_mip" localSheetId="5" hidden="1">2147483647</definedName>
    <definedName name="solver_mni" localSheetId="5" hidden="1">30</definedName>
    <definedName name="solver_mrt" localSheetId="5" hidden="1">0.075</definedName>
    <definedName name="solver_msl" localSheetId="5" hidden="1">2</definedName>
    <definedName name="solver_neg" localSheetId="5" hidden="1">1</definedName>
    <definedName name="solver_nod" localSheetId="5" hidden="1">2147483647</definedName>
    <definedName name="solver_num" localSheetId="5" hidden="1">0</definedName>
    <definedName name="solver_nwt" localSheetId="5" hidden="1">1</definedName>
    <definedName name="solver_opt" localSheetId="5" hidden="1">'outcome sICH'!$Z$34</definedName>
    <definedName name="solver_pre" localSheetId="5" hidden="1">0.000001</definedName>
    <definedName name="solver_rbv" localSheetId="5" hidden="1">2</definedName>
    <definedName name="solver_rel1" localSheetId="5" hidden="1">1</definedName>
    <definedName name="solver_rel2" localSheetId="5" hidden="1">1</definedName>
    <definedName name="solver_rhs1" localSheetId="5" hidden="1">0.01</definedName>
    <definedName name="solver_rhs2" localSheetId="5" hidden="1">0.01</definedName>
    <definedName name="solver_rlx" localSheetId="5" hidden="1">2</definedName>
    <definedName name="solver_rsd" localSheetId="5" hidden="1">0</definedName>
    <definedName name="solver_scl" localSheetId="5" hidden="1">2</definedName>
    <definedName name="solver_sho" localSheetId="5" hidden="1">2</definedName>
    <definedName name="solver_ssz" localSheetId="5" hidden="1">100</definedName>
    <definedName name="solver_tim" localSheetId="5" hidden="1">2147483647</definedName>
    <definedName name="solver_tol" localSheetId="5" hidden="1">0.01</definedName>
    <definedName name="solver_typ" localSheetId="5" hidden="1">3</definedName>
    <definedName name="solver_val" localSheetId="5" hidden="1">0</definedName>
    <definedName name="solver_ver" localSheetId="5" hidden="1">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43" i="14" l="1"/>
  <c r="AD43" i="14"/>
  <c r="AC43" i="14"/>
  <c r="AB43" i="14"/>
  <c r="AA43" i="14"/>
  <c r="AE40" i="14"/>
  <c r="AD40" i="14"/>
  <c r="AC40" i="14"/>
  <c r="AB40" i="14"/>
  <c r="AA40" i="14"/>
  <c r="A27" i="14"/>
  <c r="A28" i="14"/>
  <c r="A29" i="14"/>
  <c r="A30" i="14"/>
  <c r="A26" i="14"/>
  <c r="B27" i="14"/>
  <c r="B28" i="14"/>
  <c r="B29" i="14"/>
  <c r="B30" i="14"/>
  <c r="B26" i="14"/>
  <c r="A7" i="15"/>
  <c r="A12" i="15"/>
  <c r="A11" i="15"/>
  <c r="A10" i="15"/>
  <c r="A9" i="15"/>
  <c r="A8" i="15"/>
  <c r="N13" i="20"/>
  <c r="R13" i="20" s="1"/>
  <c r="N14" i="20"/>
  <c r="N15" i="20"/>
  <c r="R14" i="20" s="1"/>
  <c r="N16" i="20"/>
  <c r="R15" i="20" s="1"/>
  <c r="N17" i="20"/>
  <c r="R16" i="20" s="1"/>
  <c r="N12" i="20"/>
  <c r="R12" i="20" s="1"/>
  <c r="H68" i="20"/>
  <c r="H67" i="20"/>
  <c r="H66" i="20"/>
  <c r="H65" i="20"/>
  <c r="H64" i="20"/>
  <c r="H63" i="20"/>
  <c r="H62" i="20"/>
  <c r="H61" i="20"/>
  <c r="H60" i="20"/>
  <c r="H59" i="20"/>
  <c r="H58" i="20"/>
  <c r="H57" i="20"/>
  <c r="H56" i="20"/>
  <c r="H55" i="20"/>
  <c r="H54" i="20"/>
  <c r="H53" i="20"/>
  <c r="H52" i="20"/>
  <c r="H51" i="20"/>
  <c r="H50" i="20"/>
  <c r="H49" i="20"/>
  <c r="H48" i="20"/>
  <c r="H47" i="20"/>
  <c r="H46" i="20"/>
  <c r="H45" i="20"/>
  <c r="H44" i="20"/>
  <c r="H43" i="20"/>
  <c r="H42" i="20"/>
  <c r="H41" i="20"/>
  <c r="H40" i="20"/>
  <c r="H39" i="20"/>
  <c r="H38" i="20"/>
  <c r="H37" i="20"/>
  <c r="H36" i="20"/>
  <c r="H35" i="20"/>
  <c r="H34" i="20"/>
  <c r="H33" i="20"/>
  <c r="H32" i="20"/>
  <c r="C32" i="20"/>
  <c r="D32" i="20" s="1"/>
  <c r="H31" i="20"/>
  <c r="C31" i="20"/>
  <c r="D31" i="20" s="1"/>
  <c r="H30" i="20"/>
  <c r="C30" i="20"/>
  <c r="D30" i="20" s="1"/>
  <c r="H29" i="20"/>
  <c r="C29" i="20"/>
  <c r="E29" i="20" s="1"/>
  <c r="H28" i="20"/>
  <c r="C28" i="20"/>
  <c r="E28" i="20" s="1"/>
  <c r="H27" i="20"/>
  <c r="C27" i="20"/>
  <c r="D27" i="20" s="1"/>
  <c r="H26" i="20"/>
  <c r="C26" i="20"/>
  <c r="D26" i="20" s="1"/>
  <c r="H25" i="20"/>
  <c r="C25" i="20"/>
  <c r="E25" i="20" s="1"/>
  <c r="H24" i="20"/>
  <c r="C24" i="20"/>
  <c r="E24" i="20" s="1"/>
  <c r="H23" i="20"/>
  <c r="C23" i="20"/>
  <c r="E23" i="20" s="1"/>
  <c r="H22" i="20"/>
  <c r="C22" i="20"/>
  <c r="E22" i="20" s="1"/>
  <c r="H21" i="20"/>
  <c r="C21" i="20"/>
  <c r="D21" i="20" s="1"/>
  <c r="H20" i="20"/>
  <c r="C20" i="20"/>
  <c r="E20" i="20" s="1"/>
  <c r="H19" i="20"/>
  <c r="C19" i="20"/>
  <c r="E19" i="20" s="1"/>
  <c r="H18" i="20"/>
  <c r="C18" i="20"/>
  <c r="E18" i="20" s="1"/>
  <c r="H17" i="20"/>
  <c r="C17" i="20"/>
  <c r="D17" i="20" s="1"/>
  <c r="H16" i="20"/>
  <c r="C16" i="20"/>
  <c r="E16" i="20" s="1"/>
  <c r="H15" i="20"/>
  <c r="C15" i="20"/>
  <c r="D15" i="20" s="1"/>
  <c r="H14" i="20"/>
  <c r="C14" i="20"/>
  <c r="D14" i="20" s="1"/>
  <c r="H13" i="20"/>
  <c r="C13" i="20"/>
  <c r="D13" i="20" s="1"/>
  <c r="H12" i="20"/>
  <c r="C12" i="20"/>
  <c r="E12" i="20" s="1"/>
  <c r="V20" i="4"/>
  <c r="J12" i="4"/>
  <c r="J11" i="4"/>
  <c r="J13" i="4" s="1"/>
  <c r="C26" i="4"/>
  <c r="H45" i="17"/>
  <c r="G47" i="17"/>
  <c r="K47" i="17" s="1"/>
  <c r="I59" i="17"/>
  <c r="I75" i="17"/>
  <c r="I91" i="17"/>
  <c r="I107" i="17"/>
  <c r="I33" i="17"/>
  <c r="C35" i="17"/>
  <c r="D35" i="17"/>
  <c r="E35" i="17"/>
  <c r="C36" i="17"/>
  <c r="D36" i="17"/>
  <c r="E36" i="17"/>
  <c r="C37" i="17"/>
  <c r="D37" i="17"/>
  <c r="E37" i="17"/>
  <c r="I37" i="17" s="1"/>
  <c r="C38" i="17"/>
  <c r="D38" i="17"/>
  <c r="E38" i="17"/>
  <c r="I38" i="17" s="1"/>
  <c r="C39" i="17"/>
  <c r="D39" i="17"/>
  <c r="E39" i="17"/>
  <c r="C40" i="17"/>
  <c r="D40" i="17"/>
  <c r="E40" i="17"/>
  <c r="C41" i="17"/>
  <c r="D41" i="17"/>
  <c r="E41" i="17"/>
  <c r="I41" i="17" s="1"/>
  <c r="C42" i="17"/>
  <c r="D42" i="17"/>
  <c r="E42" i="17"/>
  <c r="I42" i="17" s="1"/>
  <c r="C43" i="17"/>
  <c r="D43" i="17"/>
  <c r="E43" i="17"/>
  <c r="C44" i="17"/>
  <c r="D44" i="17"/>
  <c r="E44" i="17"/>
  <c r="C45" i="17"/>
  <c r="D45" i="17"/>
  <c r="E45" i="17"/>
  <c r="C46" i="17"/>
  <c r="D46" i="17"/>
  <c r="E46" i="17"/>
  <c r="I46" i="17" s="1"/>
  <c r="C47" i="17"/>
  <c r="D47" i="17"/>
  <c r="E47" i="17"/>
  <c r="I47" i="17" s="1"/>
  <c r="C48" i="17"/>
  <c r="D48" i="17"/>
  <c r="E48" i="17"/>
  <c r="C49" i="17"/>
  <c r="D49" i="17"/>
  <c r="E49" i="17"/>
  <c r="C50" i="17"/>
  <c r="D50" i="17"/>
  <c r="E50" i="17"/>
  <c r="I50" i="17" s="1"/>
  <c r="C51" i="17"/>
  <c r="D51" i="17"/>
  <c r="E51" i="17"/>
  <c r="I51" i="17" s="1"/>
  <c r="C52" i="17"/>
  <c r="D52" i="17"/>
  <c r="E52" i="17"/>
  <c r="C53" i="17"/>
  <c r="D53" i="17"/>
  <c r="E53" i="17"/>
  <c r="C54" i="17"/>
  <c r="D54" i="17"/>
  <c r="E54" i="17"/>
  <c r="I54" i="17" s="1"/>
  <c r="C55" i="17"/>
  <c r="D55" i="17"/>
  <c r="E55" i="17"/>
  <c r="I55" i="17" s="1"/>
  <c r="C56" i="17"/>
  <c r="D56" i="17"/>
  <c r="E56" i="17"/>
  <c r="C57" i="17"/>
  <c r="D57" i="17"/>
  <c r="E57" i="17"/>
  <c r="C58" i="17"/>
  <c r="D58" i="17"/>
  <c r="E58" i="17"/>
  <c r="I58" i="17" s="1"/>
  <c r="C59" i="17"/>
  <c r="D59" i="17"/>
  <c r="E59" i="17"/>
  <c r="C60" i="17"/>
  <c r="D60" i="17"/>
  <c r="E60" i="17"/>
  <c r="C61" i="17"/>
  <c r="D61" i="17"/>
  <c r="E61" i="17"/>
  <c r="C62" i="17"/>
  <c r="D62" i="17"/>
  <c r="E62" i="17"/>
  <c r="I62" i="17" s="1"/>
  <c r="C63" i="17"/>
  <c r="D63" i="17"/>
  <c r="E63" i="17"/>
  <c r="I63" i="17" s="1"/>
  <c r="C64" i="17"/>
  <c r="D64" i="17"/>
  <c r="E64" i="17"/>
  <c r="C65" i="17"/>
  <c r="D65" i="17"/>
  <c r="E65" i="17"/>
  <c r="C66" i="17"/>
  <c r="D66" i="17"/>
  <c r="E66" i="17"/>
  <c r="I66" i="17" s="1"/>
  <c r="C67" i="17"/>
  <c r="D67" i="17"/>
  <c r="E67" i="17"/>
  <c r="I67" i="17" s="1"/>
  <c r="C68" i="17"/>
  <c r="D68" i="17"/>
  <c r="E68" i="17"/>
  <c r="C69" i="17"/>
  <c r="D69" i="17"/>
  <c r="E69" i="17"/>
  <c r="C70" i="17"/>
  <c r="D70" i="17"/>
  <c r="E70" i="17"/>
  <c r="I70" i="17" s="1"/>
  <c r="C71" i="17"/>
  <c r="D71" i="17"/>
  <c r="E71" i="17"/>
  <c r="I71" i="17" s="1"/>
  <c r="C72" i="17"/>
  <c r="D72" i="17"/>
  <c r="E72" i="17"/>
  <c r="C73" i="17"/>
  <c r="D73" i="17"/>
  <c r="E73" i="17"/>
  <c r="C74" i="17"/>
  <c r="D74" i="17"/>
  <c r="E74" i="17"/>
  <c r="I74" i="17" s="1"/>
  <c r="C75" i="17"/>
  <c r="D75" i="17"/>
  <c r="E75" i="17"/>
  <c r="C76" i="17"/>
  <c r="D76" i="17"/>
  <c r="E76" i="17"/>
  <c r="C77" i="17"/>
  <c r="D77" i="17"/>
  <c r="E77" i="17"/>
  <c r="C78" i="17"/>
  <c r="D78" i="17"/>
  <c r="E78" i="17"/>
  <c r="I78" i="17" s="1"/>
  <c r="C79" i="17"/>
  <c r="G79" i="17" s="1"/>
  <c r="K79" i="17" s="1"/>
  <c r="D79" i="17"/>
  <c r="E79" i="17"/>
  <c r="I79" i="17" s="1"/>
  <c r="C80" i="17"/>
  <c r="D80" i="17"/>
  <c r="E80" i="17"/>
  <c r="C81" i="17"/>
  <c r="D81" i="17"/>
  <c r="E81" i="17"/>
  <c r="C82" i="17"/>
  <c r="D82" i="17"/>
  <c r="E82" i="17"/>
  <c r="I82" i="17" s="1"/>
  <c r="C83" i="17"/>
  <c r="D83" i="17"/>
  <c r="E83" i="17"/>
  <c r="I83" i="17" s="1"/>
  <c r="C84" i="17"/>
  <c r="D84" i="17"/>
  <c r="E84" i="17"/>
  <c r="C85" i="17"/>
  <c r="D85" i="17"/>
  <c r="E85" i="17"/>
  <c r="C86" i="17"/>
  <c r="D86" i="17"/>
  <c r="E86" i="17"/>
  <c r="I86" i="17" s="1"/>
  <c r="C87" i="17"/>
  <c r="D87" i="17"/>
  <c r="E87" i="17"/>
  <c r="I87" i="17" s="1"/>
  <c r="C88" i="17"/>
  <c r="D88" i="17"/>
  <c r="E88" i="17"/>
  <c r="I88" i="17" s="1"/>
  <c r="C89" i="17"/>
  <c r="D89" i="17"/>
  <c r="E89" i="17"/>
  <c r="C90" i="17"/>
  <c r="D90" i="17"/>
  <c r="H90" i="17" s="1"/>
  <c r="E90" i="17"/>
  <c r="I90" i="17" s="1"/>
  <c r="C91" i="17"/>
  <c r="D91" i="17"/>
  <c r="E91" i="17"/>
  <c r="C92" i="17"/>
  <c r="D92" i="17"/>
  <c r="E92" i="17"/>
  <c r="I92" i="17" s="1"/>
  <c r="C93" i="17"/>
  <c r="D93" i="17"/>
  <c r="E93" i="17"/>
  <c r="I93" i="17" s="1"/>
  <c r="C94" i="17"/>
  <c r="D94" i="17"/>
  <c r="H94" i="17" s="1"/>
  <c r="E94" i="17"/>
  <c r="I94" i="17" s="1"/>
  <c r="C95" i="17"/>
  <c r="D95" i="17"/>
  <c r="E95" i="17"/>
  <c r="I95" i="17" s="1"/>
  <c r="C96" i="17"/>
  <c r="D96" i="17"/>
  <c r="E96" i="17"/>
  <c r="I96" i="17" s="1"/>
  <c r="C97" i="17"/>
  <c r="D97" i="17"/>
  <c r="E97" i="17"/>
  <c r="I97" i="17" s="1"/>
  <c r="C98" i="17"/>
  <c r="D98" i="17"/>
  <c r="H98" i="17" s="1"/>
  <c r="E98" i="17"/>
  <c r="I98" i="17" s="1"/>
  <c r="C99" i="17"/>
  <c r="D99" i="17"/>
  <c r="E99" i="17"/>
  <c r="I99" i="17" s="1"/>
  <c r="C100" i="17"/>
  <c r="D100" i="17"/>
  <c r="E100" i="17"/>
  <c r="I100" i="17" s="1"/>
  <c r="C101" i="17"/>
  <c r="D101" i="17"/>
  <c r="E101" i="17"/>
  <c r="I101" i="17" s="1"/>
  <c r="C102" i="17"/>
  <c r="D102" i="17"/>
  <c r="H102" i="17" s="1"/>
  <c r="E102" i="17"/>
  <c r="I102" i="17" s="1"/>
  <c r="C103" i="17"/>
  <c r="G103" i="17" s="1"/>
  <c r="D103" i="17"/>
  <c r="E103" i="17"/>
  <c r="I103" i="17" s="1"/>
  <c r="C104" i="17"/>
  <c r="G104" i="17" s="1"/>
  <c r="D104" i="17"/>
  <c r="E104" i="17"/>
  <c r="I104" i="17" s="1"/>
  <c r="C105" i="17"/>
  <c r="D105" i="17"/>
  <c r="H105" i="17" s="1"/>
  <c r="E105" i="17"/>
  <c r="I105" i="17" s="1"/>
  <c r="C106" i="17"/>
  <c r="D106" i="17"/>
  <c r="H106" i="17" s="1"/>
  <c r="E106" i="17"/>
  <c r="I106" i="17" s="1"/>
  <c r="C107" i="17"/>
  <c r="G107" i="17" s="1"/>
  <c r="D107" i="17"/>
  <c r="H107" i="17" s="1"/>
  <c r="E107" i="17"/>
  <c r="C108" i="17"/>
  <c r="G108" i="17" s="1"/>
  <c r="D108" i="17"/>
  <c r="E108" i="17"/>
  <c r="I108" i="17" s="1"/>
  <c r="C109" i="17"/>
  <c r="D109" i="17"/>
  <c r="H109" i="17" s="1"/>
  <c r="E109" i="17"/>
  <c r="I109" i="17" s="1"/>
  <c r="C110" i="17"/>
  <c r="D110" i="17"/>
  <c r="H110" i="17" s="1"/>
  <c r="E110" i="17"/>
  <c r="I110" i="17" s="1"/>
  <c r="C111" i="17"/>
  <c r="G111" i="17" s="1"/>
  <c r="D111" i="17"/>
  <c r="H111" i="17" s="1"/>
  <c r="E111" i="17"/>
  <c r="I111" i="17" s="1"/>
  <c r="C112" i="17"/>
  <c r="G112" i="17" s="1"/>
  <c r="D112" i="17"/>
  <c r="E112" i="17"/>
  <c r="I112" i="17" s="1"/>
  <c r="C113" i="17"/>
  <c r="G113" i="17" s="1"/>
  <c r="D113" i="17"/>
  <c r="H113" i="17" s="1"/>
  <c r="E113" i="17"/>
  <c r="I113" i="17" s="1"/>
  <c r="C114" i="17"/>
  <c r="D114" i="17"/>
  <c r="H114" i="17" s="1"/>
  <c r="E114" i="17"/>
  <c r="I114" i="17" s="1"/>
  <c r="C115" i="17"/>
  <c r="G115" i="17" s="1"/>
  <c r="D115" i="17"/>
  <c r="H115" i="17" s="1"/>
  <c r="E115" i="17"/>
  <c r="I115" i="17" s="1"/>
  <c r="C116" i="17"/>
  <c r="G116" i="17" s="1"/>
  <c r="D116" i="17"/>
  <c r="H116" i="17" s="1"/>
  <c r="E116" i="17"/>
  <c r="I116" i="17" s="1"/>
  <c r="C117" i="17"/>
  <c r="G117" i="17" s="1"/>
  <c r="D117" i="17"/>
  <c r="H117" i="17" s="1"/>
  <c r="E117" i="17"/>
  <c r="I117" i="17" s="1"/>
  <c r="C118" i="17"/>
  <c r="D118" i="17"/>
  <c r="H118" i="17" s="1"/>
  <c r="E118" i="17"/>
  <c r="I118" i="17" s="1"/>
  <c r="C119" i="17"/>
  <c r="G119" i="17" s="1"/>
  <c r="D119" i="17"/>
  <c r="H119" i="17" s="1"/>
  <c r="E119" i="17"/>
  <c r="I119" i="17" s="1"/>
  <c r="C120" i="17"/>
  <c r="G120" i="17" s="1"/>
  <c r="D120" i="17"/>
  <c r="H120" i="17" s="1"/>
  <c r="E120" i="17"/>
  <c r="I120" i="17" s="1"/>
  <c r="C121" i="17"/>
  <c r="G121" i="17" s="1"/>
  <c r="D121" i="17"/>
  <c r="H121" i="17" s="1"/>
  <c r="E121" i="17"/>
  <c r="I121" i="17" s="1"/>
  <c r="C122" i="17"/>
  <c r="G122" i="17" s="1"/>
  <c r="D122" i="17"/>
  <c r="H122" i="17" s="1"/>
  <c r="E122" i="17"/>
  <c r="I122" i="17" s="1"/>
  <c r="E34" i="17"/>
  <c r="I34" i="17" s="1"/>
  <c r="E33" i="17"/>
  <c r="D34" i="17"/>
  <c r="H34" i="17" s="1"/>
  <c r="D33" i="17"/>
  <c r="H33" i="17" s="1"/>
  <c r="C34" i="17"/>
  <c r="G34" i="17" s="1"/>
  <c r="C33" i="17"/>
  <c r="G33" i="17" s="1"/>
  <c r="J11" i="12"/>
  <c r="J12" i="12"/>
  <c r="J13" i="12"/>
  <c r="J14" i="12"/>
  <c r="J15" i="12"/>
  <c r="J16" i="12"/>
  <c r="J10" i="12"/>
  <c r="T36" i="16"/>
  <c r="W36" i="16" s="1"/>
  <c r="T35" i="16"/>
  <c r="X35" i="16" s="1"/>
  <c r="C113" i="16"/>
  <c r="D113" i="16" s="1"/>
  <c r="C112" i="16"/>
  <c r="D112" i="16" s="1"/>
  <c r="C111" i="16"/>
  <c r="D111" i="16" s="1"/>
  <c r="C110" i="16"/>
  <c r="D110" i="16" s="1"/>
  <c r="C109" i="16"/>
  <c r="C108" i="16"/>
  <c r="E108" i="16" s="1"/>
  <c r="C107" i="16"/>
  <c r="E107" i="16" s="1"/>
  <c r="C106" i="16"/>
  <c r="D106" i="16" s="1"/>
  <c r="C105" i="16"/>
  <c r="C104" i="16"/>
  <c r="E104" i="16" s="1"/>
  <c r="C103" i="16"/>
  <c r="E103" i="16" s="1"/>
  <c r="C102" i="16"/>
  <c r="D102" i="16" s="1"/>
  <c r="C101" i="16"/>
  <c r="C100" i="16"/>
  <c r="E100" i="16" s="1"/>
  <c r="C99" i="16"/>
  <c r="D99" i="16" s="1"/>
  <c r="C98" i="16"/>
  <c r="D98" i="16" s="1"/>
  <c r="C97" i="16"/>
  <c r="C96" i="16"/>
  <c r="E96" i="16" s="1"/>
  <c r="C95" i="16"/>
  <c r="D95" i="16" s="1"/>
  <c r="C94" i="16"/>
  <c r="D94" i="16" s="1"/>
  <c r="C93" i="16"/>
  <c r="C92" i="16"/>
  <c r="E92" i="16" s="1"/>
  <c r="C91" i="16"/>
  <c r="E91" i="16" s="1"/>
  <c r="C90" i="16"/>
  <c r="D90" i="16" s="1"/>
  <c r="C89" i="16"/>
  <c r="C88" i="16"/>
  <c r="E88" i="16" s="1"/>
  <c r="C87" i="16"/>
  <c r="E87" i="16" s="1"/>
  <c r="C86" i="16"/>
  <c r="D86" i="16" s="1"/>
  <c r="C85" i="16"/>
  <c r="C84" i="16"/>
  <c r="E84" i="16" s="1"/>
  <c r="C83" i="16"/>
  <c r="D83" i="16" s="1"/>
  <c r="C82" i="16"/>
  <c r="D82" i="16" s="1"/>
  <c r="C81" i="16"/>
  <c r="C80" i="16"/>
  <c r="E80" i="16" s="1"/>
  <c r="C79" i="16"/>
  <c r="D79" i="16" s="1"/>
  <c r="C78" i="16"/>
  <c r="D78" i="16" s="1"/>
  <c r="C77" i="16"/>
  <c r="C76" i="16"/>
  <c r="E76" i="16" s="1"/>
  <c r="C75" i="16"/>
  <c r="E75" i="16" s="1"/>
  <c r="C74" i="16"/>
  <c r="D74" i="16" s="1"/>
  <c r="C73" i="16"/>
  <c r="C72" i="16"/>
  <c r="E72" i="16" s="1"/>
  <c r="C71" i="16"/>
  <c r="E71" i="16" s="1"/>
  <c r="C70" i="16"/>
  <c r="D70" i="16" s="1"/>
  <c r="C69" i="16"/>
  <c r="C68" i="16"/>
  <c r="E68" i="16" s="1"/>
  <c r="H67" i="16"/>
  <c r="I67" i="16" s="1"/>
  <c r="C67" i="16"/>
  <c r="D67" i="16" s="1"/>
  <c r="H66" i="16"/>
  <c r="C66" i="16"/>
  <c r="D66" i="16" s="1"/>
  <c r="H65" i="16"/>
  <c r="J65" i="16" s="1"/>
  <c r="C65" i="16"/>
  <c r="H64" i="16"/>
  <c r="J64" i="16" s="1"/>
  <c r="C64" i="16"/>
  <c r="E64" i="16" s="1"/>
  <c r="H63" i="16"/>
  <c r="I63" i="16" s="1"/>
  <c r="C63" i="16"/>
  <c r="D63" i="16" s="1"/>
  <c r="H62" i="16"/>
  <c r="C62" i="16"/>
  <c r="D62" i="16" s="1"/>
  <c r="H61" i="16"/>
  <c r="J61" i="16" s="1"/>
  <c r="C61" i="16"/>
  <c r="H60" i="16"/>
  <c r="I60" i="16" s="1"/>
  <c r="C60" i="16"/>
  <c r="E60" i="16" s="1"/>
  <c r="H59" i="16"/>
  <c r="I59" i="16" s="1"/>
  <c r="C59" i="16"/>
  <c r="D59" i="16" s="1"/>
  <c r="H58" i="16"/>
  <c r="C58" i="16"/>
  <c r="D58" i="16" s="1"/>
  <c r="H57" i="16"/>
  <c r="J57" i="16" s="1"/>
  <c r="C57" i="16"/>
  <c r="E57" i="16" s="1"/>
  <c r="H56" i="16"/>
  <c r="J56" i="16" s="1"/>
  <c r="C56" i="16"/>
  <c r="D56" i="16" s="1"/>
  <c r="H55" i="16"/>
  <c r="J55" i="16" s="1"/>
  <c r="C55" i="16"/>
  <c r="E55" i="16" s="1"/>
  <c r="M54" i="16"/>
  <c r="N54" i="16" s="1"/>
  <c r="H54" i="16"/>
  <c r="J54" i="16" s="1"/>
  <c r="C54" i="16"/>
  <c r="D54" i="16" s="1"/>
  <c r="M53" i="16"/>
  <c r="O53" i="16" s="1"/>
  <c r="H53" i="16"/>
  <c r="I53" i="16" s="1"/>
  <c r="C53" i="16"/>
  <c r="E53" i="16" s="1"/>
  <c r="M52" i="16"/>
  <c r="O52" i="16" s="1"/>
  <c r="H52" i="16"/>
  <c r="J52" i="16" s="1"/>
  <c r="C52" i="16"/>
  <c r="D52" i="16" s="1"/>
  <c r="M51" i="16"/>
  <c r="O51" i="16" s="1"/>
  <c r="H51" i="16"/>
  <c r="J51" i="16" s="1"/>
  <c r="C51" i="16"/>
  <c r="E51" i="16" s="1"/>
  <c r="M50" i="16"/>
  <c r="N50" i="16" s="1"/>
  <c r="H50" i="16"/>
  <c r="J50" i="16" s="1"/>
  <c r="C50" i="16"/>
  <c r="D50" i="16" s="1"/>
  <c r="M49" i="16"/>
  <c r="O49" i="16" s="1"/>
  <c r="H49" i="16"/>
  <c r="I49" i="16" s="1"/>
  <c r="C49" i="16"/>
  <c r="E49" i="16" s="1"/>
  <c r="M48" i="16"/>
  <c r="O48" i="16" s="1"/>
  <c r="H48" i="16"/>
  <c r="J48" i="16" s="1"/>
  <c r="C48" i="16"/>
  <c r="D48" i="16" s="1"/>
  <c r="M47" i="16"/>
  <c r="O47" i="16" s="1"/>
  <c r="H47" i="16"/>
  <c r="J47" i="16" s="1"/>
  <c r="C47" i="16"/>
  <c r="E47" i="16" s="1"/>
  <c r="M46" i="16"/>
  <c r="N46" i="16" s="1"/>
  <c r="H46" i="16"/>
  <c r="J46" i="16" s="1"/>
  <c r="C46" i="16"/>
  <c r="D46" i="16" s="1"/>
  <c r="M45" i="16"/>
  <c r="O45" i="16" s="1"/>
  <c r="H45" i="16"/>
  <c r="I45" i="16" s="1"/>
  <c r="C45" i="16"/>
  <c r="E45" i="16" s="1"/>
  <c r="M44" i="16"/>
  <c r="O44" i="16" s="1"/>
  <c r="H44" i="16"/>
  <c r="J44" i="16" s="1"/>
  <c r="C44" i="16"/>
  <c r="D44" i="16" s="1"/>
  <c r="M43" i="16"/>
  <c r="O43" i="16" s="1"/>
  <c r="H43" i="16"/>
  <c r="I43" i="16" s="1"/>
  <c r="C43" i="16"/>
  <c r="E43" i="16" s="1"/>
  <c r="M42" i="16"/>
  <c r="N42" i="16" s="1"/>
  <c r="H42" i="16"/>
  <c r="J42" i="16" s="1"/>
  <c r="C42" i="16"/>
  <c r="E42" i="16" s="1"/>
  <c r="M41" i="16"/>
  <c r="O41" i="16" s="1"/>
  <c r="H41" i="16"/>
  <c r="I41" i="16" s="1"/>
  <c r="C41" i="16"/>
  <c r="E41" i="16" s="1"/>
  <c r="M40" i="16"/>
  <c r="O40" i="16" s="1"/>
  <c r="H40" i="16"/>
  <c r="J40" i="16" s="1"/>
  <c r="C40" i="16"/>
  <c r="D40" i="16" s="1"/>
  <c r="M39" i="16"/>
  <c r="O39" i="16" s="1"/>
  <c r="H39" i="16"/>
  <c r="I39" i="16" s="1"/>
  <c r="C39" i="16"/>
  <c r="E39" i="16" s="1"/>
  <c r="M38" i="16"/>
  <c r="N38" i="16" s="1"/>
  <c r="H38" i="16"/>
  <c r="J38" i="16" s="1"/>
  <c r="C38" i="16"/>
  <c r="E38" i="16" s="1"/>
  <c r="M37" i="16"/>
  <c r="O37" i="16" s="1"/>
  <c r="H37" i="16"/>
  <c r="I37" i="16" s="1"/>
  <c r="C37" i="16"/>
  <c r="E37" i="16" s="1"/>
  <c r="M36" i="16"/>
  <c r="N36" i="16" s="1"/>
  <c r="H36" i="16"/>
  <c r="J36" i="16" s="1"/>
  <c r="C36" i="16"/>
  <c r="D36" i="16" s="1"/>
  <c r="M35" i="16"/>
  <c r="O35" i="16" s="1"/>
  <c r="H35" i="16"/>
  <c r="J35" i="16" s="1"/>
  <c r="C35" i="16"/>
  <c r="E35" i="16" s="1"/>
  <c r="M34" i="16"/>
  <c r="N34" i="16" s="1"/>
  <c r="H34" i="16"/>
  <c r="J34" i="16" s="1"/>
  <c r="C34" i="16"/>
  <c r="E34" i="16" s="1"/>
  <c r="M33" i="16"/>
  <c r="O33" i="16" s="1"/>
  <c r="H33" i="16"/>
  <c r="I33" i="16" s="1"/>
  <c r="C33" i="16"/>
  <c r="E33" i="16" s="1"/>
  <c r="M32" i="16"/>
  <c r="N32" i="16" s="1"/>
  <c r="H32" i="16"/>
  <c r="J32" i="16" s="1"/>
  <c r="C32" i="16"/>
  <c r="D32" i="16" s="1"/>
  <c r="M31" i="16"/>
  <c r="O31" i="16" s="1"/>
  <c r="H31" i="16"/>
  <c r="J31" i="16" s="1"/>
  <c r="C31" i="16"/>
  <c r="E31" i="16" s="1"/>
  <c r="M30" i="16"/>
  <c r="N30" i="16" s="1"/>
  <c r="H30" i="16"/>
  <c r="J30" i="16" s="1"/>
  <c r="C30" i="16"/>
  <c r="E30" i="16" s="1"/>
  <c r="M29" i="16"/>
  <c r="O29" i="16" s="1"/>
  <c r="H29" i="16"/>
  <c r="I29" i="16" s="1"/>
  <c r="C29" i="16"/>
  <c r="E29" i="16" s="1"/>
  <c r="M28" i="16"/>
  <c r="N28" i="16" s="1"/>
  <c r="H28" i="16"/>
  <c r="J28" i="16" s="1"/>
  <c r="C28" i="16"/>
  <c r="D28" i="16" s="1"/>
  <c r="M27" i="16"/>
  <c r="O27" i="16" s="1"/>
  <c r="H27" i="16"/>
  <c r="J27" i="16" s="1"/>
  <c r="C27" i="16"/>
  <c r="E27" i="16" s="1"/>
  <c r="M26" i="16"/>
  <c r="N26" i="16" s="1"/>
  <c r="H26" i="16"/>
  <c r="J26" i="16" s="1"/>
  <c r="C26" i="16"/>
  <c r="D26" i="16" s="1"/>
  <c r="M25" i="16"/>
  <c r="O25" i="16" s="1"/>
  <c r="H25" i="16"/>
  <c r="I25" i="16" s="1"/>
  <c r="C25" i="16"/>
  <c r="E25" i="16" s="1"/>
  <c r="M24" i="16"/>
  <c r="O24" i="16" s="1"/>
  <c r="H24" i="16"/>
  <c r="J24" i="16" s="1"/>
  <c r="C24" i="16"/>
  <c r="D24" i="16" s="1"/>
  <c r="M23" i="16"/>
  <c r="O23" i="16" s="1"/>
  <c r="H23" i="16"/>
  <c r="J23" i="16" s="1"/>
  <c r="C23" i="16"/>
  <c r="E23" i="16" s="1"/>
  <c r="M22" i="16"/>
  <c r="N22" i="16" s="1"/>
  <c r="H22" i="16"/>
  <c r="J22" i="16" s="1"/>
  <c r="C22" i="16"/>
  <c r="D22" i="16" s="1"/>
  <c r="M21" i="16"/>
  <c r="O21" i="16" s="1"/>
  <c r="H21" i="16"/>
  <c r="I21" i="16" s="1"/>
  <c r="C21" i="16"/>
  <c r="E21" i="16" s="1"/>
  <c r="M20" i="16"/>
  <c r="O20" i="16" s="1"/>
  <c r="H20" i="16"/>
  <c r="J20" i="16" s="1"/>
  <c r="C20" i="16"/>
  <c r="D20" i="16" s="1"/>
  <c r="M19" i="16"/>
  <c r="O19" i="16" s="1"/>
  <c r="H19" i="16"/>
  <c r="J19" i="16" s="1"/>
  <c r="C19" i="16"/>
  <c r="E19" i="16" s="1"/>
  <c r="M18" i="16"/>
  <c r="N18" i="16" s="1"/>
  <c r="H18" i="16"/>
  <c r="J18" i="16" s="1"/>
  <c r="C18" i="16"/>
  <c r="D18" i="16" s="1"/>
  <c r="M17" i="16"/>
  <c r="O17" i="16" s="1"/>
  <c r="H17" i="16"/>
  <c r="I17" i="16" s="1"/>
  <c r="C17" i="16"/>
  <c r="E17" i="16" s="1"/>
  <c r="M16" i="16"/>
  <c r="O16" i="16" s="1"/>
  <c r="H16" i="16"/>
  <c r="J16" i="16" s="1"/>
  <c r="C16" i="16"/>
  <c r="M15" i="16"/>
  <c r="O15" i="16" s="1"/>
  <c r="H15" i="16"/>
  <c r="J15" i="16" s="1"/>
  <c r="C15" i="16"/>
  <c r="E15" i="16" s="1"/>
  <c r="M14" i="16"/>
  <c r="H14" i="16"/>
  <c r="J14" i="16" s="1"/>
  <c r="C14" i="16"/>
  <c r="E14" i="16" s="1"/>
  <c r="M13" i="16"/>
  <c r="O13" i="16" s="1"/>
  <c r="H13" i="16"/>
  <c r="I13" i="16" s="1"/>
  <c r="C13" i="16"/>
  <c r="M12" i="16"/>
  <c r="N12" i="16" s="1"/>
  <c r="H12" i="16"/>
  <c r="J12" i="16" s="1"/>
  <c r="C12" i="16"/>
  <c r="D12" i="16" s="1"/>
  <c r="M11" i="16"/>
  <c r="H11" i="16"/>
  <c r="J11" i="16" s="1"/>
  <c r="C11" i="16"/>
  <c r="E11" i="16" s="1"/>
  <c r="Q57" i="14"/>
  <c r="U57" i="14" s="1"/>
  <c r="Q58" i="14"/>
  <c r="U58" i="14" s="1"/>
  <c r="Q59" i="14"/>
  <c r="U59" i="14" s="1"/>
  <c r="Q60" i="14"/>
  <c r="U60" i="14" s="1"/>
  <c r="U61" i="14" s="1"/>
  <c r="Q56" i="14"/>
  <c r="U56" i="14" s="1"/>
  <c r="U55" i="14" s="1"/>
  <c r="S40" i="14"/>
  <c r="S56" i="14" s="1"/>
  <c r="V56" i="14" s="1"/>
  <c r="T40" i="14"/>
  <c r="T56" i="14" s="1"/>
  <c r="S41" i="14"/>
  <c r="S57" i="14" s="1"/>
  <c r="V57" i="14" s="1"/>
  <c r="T41" i="14"/>
  <c r="T57" i="14" s="1"/>
  <c r="W57" i="14" s="1"/>
  <c r="S42" i="14"/>
  <c r="S58" i="14" s="1"/>
  <c r="V58" i="14" s="1"/>
  <c r="T42" i="14"/>
  <c r="T58" i="14" s="1"/>
  <c r="S43" i="14"/>
  <c r="S59" i="14" s="1"/>
  <c r="V59" i="14" s="1"/>
  <c r="T43" i="14"/>
  <c r="T59" i="14" s="1"/>
  <c r="S44" i="14"/>
  <c r="S60" i="14" s="1"/>
  <c r="V60" i="14" s="1"/>
  <c r="T44" i="14"/>
  <c r="T60" i="14" s="1"/>
  <c r="R41" i="14"/>
  <c r="R57" i="14" s="1"/>
  <c r="R42" i="14"/>
  <c r="R58" i="14" s="1"/>
  <c r="R43" i="14"/>
  <c r="R59" i="14" s="1"/>
  <c r="R44" i="14"/>
  <c r="R60" i="14" s="1"/>
  <c r="R40" i="14"/>
  <c r="R56" i="14" s="1"/>
  <c r="H27" i="14"/>
  <c r="H28" i="14"/>
  <c r="H29" i="14"/>
  <c r="H30" i="14"/>
  <c r="H26" i="14"/>
  <c r="G27" i="14"/>
  <c r="G28" i="14"/>
  <c r="G29" i="14"/>
  <c r="G30" i="14"/>
  <c r="G26" i="14"/>
  <c r="E27" i="14"/>
  <c r="E28" i="14"/>
  <c r="E29" i="14"/>
  <c r="E30" i="14"/>
  <c r="E26" i="14"/>
  <c r="D27" i="14"/>
  <c r="D28" i="14"/>
  <c r="D29" i="14"/>
  <c r="D30" i="14"/>
  <c r="D26" i="14"/>
  <c r="F27" i="14"/>
  <c r="F28" i="14"/>
  <c r="F29" i="14"/>
  <c r="F30" i="14"/>
  <c r="F26" i="14"/>
  <c r="C27" i="14"/>
  <c r="C28" i="14"/>
  <c r="C29" i="14"/>
  <c r="C30" i="14"/>
  <c r="C26" i="14"/>
  <c r="J11" i="14"/>
  <c r="J10" i="14"/>
  <c r="V32" i="4" l="1"/>
  <c r="I43" i="17"/>
  <c r="I39" i="17"/>
  <c r="I35" i="17"/>
  <c r="I84" i="17"/>
  <c r="I80" i="17"/>
  <c r="I76" i="17"/>
  <c r="I72" i="17"/>
  <c r="I68" i="17"/>
  <c r="I64" i="17"/>
  <c r="I60" i="17"/>
  <c r="I56" i="17"/>
  <c r="I52" i="17"/>
  <c r="I48" i="17"/>
  <c r="I44" i="17"/>
  <c r="I40" i="17"/>
  <c r="I36" i="17"/>
  <c r="I89" i="17"/>
  <c r="I85" i="17"/>
  <c r="I81" i="17"/>
  <c r="I77" i="17"/>
  <c r="M77" i="17" s="1"/>
  <c r="I73" i="17"/>
  <c r="I69" i="17"/>
  <c r="I65" i="17"/>
  <c r="I61" i="17"/>
  <c r="M61" i="17" s="1"/>
  <c r="I57" i="17"/>
  <c r="I53" i="17"/>
  <c r="I49" i="17"/>
  <c r="I45" i="17"/>
  <c r="M45" i="17" s="1"/>
  <c r="H43" i="17"/>
  <c r="H35" i="17"/>
  <c r="H44" i="17"/>
  <c r="H40" i="17"/>
  <c r="H36" i="17"/>
  <c r="H101" i="17"/>
  <c r="H41" i="17"/>
  <c r="H37" i="17"/>
  <c r="L37" i="17" s="1"/>
  <c r="H97" i="17"/>
  <c r="H93" i="17"/>
  <c r="H89" i="17"/>
  <c r="H85" i="17"/>
  <c r="L85" i="17" s="1"/>
  <c r="H81" i="17"/>
  <c r="H77" i="17"/>
  <c r="H73" i="17"/>
  <c r="H69" i="17"/>
  <c r="L69" i="17" s="1"/>
  <c r="H65" i="17"/>
  <c r="H61" i="17"/>
  <c r="H57" i="17"/>
  <c r="H53" i="17"/>
  <c r="L53" i="17" s="1"/>
  <c r="H49" i="17"/>
  <c r="H86" i="17"/>
  <c r="H82" i="17"/>
  <c r="H78" i="17"/>
  <c r="H74" i="17"/>
  <c r="H70" i="17"/>
  <c r="H66" i="17"/>
  <c r="H62" i="17"/>
  <c r="H58" i="17"/>
  <c r="H54" i="17"/>
  <c r="H50" i="17"/>
  <c r="H46" i="17"/>
  <c r="H42" i="17"/>
  <c r="H38" i="17"/>
  <c r="H39" i="17"/>
  <c r="H103" i="17"/>
  <c r="L103" i="17" s="1"/>
  <c r="H48" i="17"/>
  <c r="H52" i="17"/>
  <c r="H56" i="17"/>
  <c r="H60" i="17"/>
  <c r="H64" i="17"/>
  <c r="H68" i="17"/>
  <c r="H72" i="17"/>
  <c r="H76" i="17"/>
  <c r="H80" i="17"/>
  <c r="H84" i="17"/>
  <c r="H88" i="17"/>
  <c r="H92" i="17"/>
  <c r="H96" i="17"/>
  <c r="H100" i="17"/>
  <c r="H104" i="17"/>
  <c r="H108" i="17"/>
  <c r="L108" i="17" s="1"/>
  <c r="H112" i="17"/>
  <c r="L112" i="17" s="1"/>
  <c r="H99" i="17"/>
  <c r="H95" i="17"/>
  <c r="H91" i="17"/>
  <c r="H87" i="17"/>
  <c r="H83" i="17"/>
  <c r="H79" i="17"/>
  <c r="H75" i="17"/>
  <c r="L75" i="17" s="1"/>
  <c r="H71" i="17"/>
  <c r="H67" i="17"/>
  <c r="L67" i="17" s="1"/>
  <c r="H63" i="17"/>
  <c r="H59" i="17"/>
  <c r="H55" i="17"/>
  <c r="H51" i="17"/>
  <c r="H47" i="17"/>
  <c r="L119" i="17"/>
  <c r="L111" i="17"/>
  <c r="L120" i="17"/>
  <c r="L104" i="17"/>
  <c r="G109" i="17"/>
  <c r="G105" i="17"/>
  <c r="G101" i="17"/>
  <c r="G97" i="17"/>
  <c r="L97" i="17" s="1"/>
  <c r="G93" i="17"/>
  <c r="G89" i="17"/>
  <c r="G85" i="17"/>
  <c r="G81" i="17"/>
  <c r="K81" i="17" s="1"/>
  <c r="G77" i="17"/>
  <c r="G73" i="17"/>
  <c r="G69" i="17"/>
  <c r="G65" i="17"/>
  <c r="K65" i="17" s="1"/>
  <c r="G61" i="17"/>
  <c r="G57" i="17"/>
  <c r="G53" i="17"/>
  <c r="G49" i="17"/>
  <c r="K49" i="17" s="1"/>
  <c r="G45" i="17"/>
  <c r="G41" i="17"/>
  <c r="G37" i="17"/>
  <c r="M37" i="17" s="1"/>
  <c r="G118" i="17"/>
  <c r="K118" i="17" s="1"/>
  <c r="G114" i="17"/>
  <c r="G110" i="17"/>
  <c r="G106" i="17"/>
  <c r="G95" i="17"/>
  <c r="K95" i="17" s="1"/>
  <c r="G87" i="17"/>
  <c r="K87" i="17" s="1"/>
  <c r="G71" i="17"/>
  <c r="K71" i="17" s="1"/>
  <c r="G63" i="17"/>
  <c r="K63" i="17" s="1"/>
  <c r="G55" i="17"/>
  <c r="K55" i="17" s="1"/>
  <c r="G39" i="17"/>
  <c r="K39" i="17" s="1"/>
  <c r="L115" i="17"/>
  <c r="M115" i="17"/>
  <c r="L107" i="17"/>
  <c r="M107" i="17"/>
  <c r="G102" i="17"/>
  <c r="G98" i="17"/>
  <c r="G94" i="17"/>
  <c r="K94" i="17" s="1"/>
  <c r="G90" i="17"/>
  <c r="K90" i="17" s="1"/>
  <c r="G86" i="17"/>
  <c r="G82" i="17"/>
  <c r="G78" i="17"/>
  <c r="G74" i="17"/>
  <c r="L74" i="17" s="1"/>
  <c r="G70" i="17"/>
  <c r="G66" i="17"/>
  <c r="G62" i="17"/>
  <c r="K62" i="17" s="1"/>
  <c r="G58" i="17"/>
  <c r="K58" i="17" s="1"/>
  <c r="G54" i="17"/>
  <c r="G50" i="17"/>
  <c r="G46" i="17"/>
  <c r="G42" i="17"/>
  <c r="L42" i="17" s="1"/>
  <c r="G38" i="17"/>
  <c r="G99" i="17"/>
  <c r="G91" i="17"/>
  <c r="G83" i="17"/>
  <c r="K83" i="17" s="1"/>
  <c r="G75" i="17"/>
  <c r="G67" i="17"/>
  <c r="G59" i="17"/>
  <c r="K59" i="17" s="1"/>
  <c r="G51" i="17"/>
  <c r="K51" i="17" s="1"/>
  <c r="G43" i="17"/>
  <c r="G35" i="17"/>
  <c r="G100" i="17"/>
  <c r="K100" i="17" s="1"/>
  <c r="L117" i="17"/>
  <c r="K117" i="17"/>
  <c r="M117" i="17"/>
  <c r="K97" i="17"/>
  <c r="K89" i="17"/>
  <c r="L89" i="17"/>
  <c r="M89" i="17"/>
  <c r="M81" i="17"/>
  <c r="K73" i="17"/>
  <c r="L73" i="17"/>
  <c r="M73" i="17"/>
  <c r="K61" i="17"/>
  <c r="L61" i="17"/>
  <c r="K53" i="17"/>
  <c r="M53" i="17"/>
  <c r="M49" i="17"/>
  <c r="K41" i="17"/>
  <c r="L41" i="17"/>
  <c r="M41" i="17"/>
  <c r="K33" i="17"/>
  <c r="L33" i="17"/>
  <c r="K122" i="17"/>
  <c r="M122" i="17"/>
  <c r="L122" i="17"/>
  <c r="K114" i="17"/>
  <c r="M114" i="17"/>
  <c r="L114" i="17"/>
  <c r="K110" i="17"/>
  <c r="M110" i="17"/>
  <c r="L110" i="17"/>
  <c r="K106" i="17"/>
  <c r="M106" i="17"/>
  <c r="L106" i="17"/>
  <c r="L113" i="17"/>
  <c r="M113" i="17"/>
  <c r="K113" i="17"/>
  <c r="L105" i="17"/>
  <c r="M105" i="17"/>
  <c r="K105" i="17"/>
  <c r="K93" i="17"/>
  <c r="L93" i="17"/>
  <c r="M93" i="17"/>
  <c r="K77" i="17"/>
  <c r="L77" i="17"/>
  <c r="K69" i="17"/>
  <c r="M69" i="17"/>
  <c r="K57" i="17"/>
  <c r="L57" i="17"/>
  <c r="M57" i="17"/>
  <c r="K45" i="17"/>
  <c r="L45" i="17"/>
  <c r="L99" i="17"/>
  <c r="M99" i="17"/>
  <c r="K99" i="17"/>
  <c r="M83" i="17"/>
  <c r="M75" i="17"/>
  <c r="K75" i="17"/>
  <c r="M67" i="17"/>
  <c r="K67" i="17"/>
  <c r="M59" i="17"/>
  <c r="M51" i="17"/>
  <c r="L43" i="17"/>
  <c r="M43" i="17"/>
  <c r="K43" i="17"/>
  <c r="L35" i="17"/>
  <c r="M35" i="17"/>
  <c r="K35" i="17"/>
  <c r="L121" i="17"/>
  <c r="M121" i="17"/>
  <c r="K121" i="17"/>
  <c r="L109" i="17"/>
  <c r="K109" i="17"/>
  <c r="M109" i="17"/>
  <c r="K101" i="17"/>
  <c r="L101" i="17"/>
  <c r="M101" i="17"/>
  <c r="K85" i="17"/>
  <c r="M85" i="17"/>
  <c r="K102" i="17"/>
  <c r="M102" i="17"/>
  <c r="M94" i="17"/>
  <c r="K86" i="17"/>
  <c r="L86" i="17"/>
  <c r="M86" i="17"/>
  <c r="K82" i="17"/>
  <c r="L82" i="17"/>
  <c r="M82" i="17"/>
  <c r="K70" i="17"/>
  <c r="L70" i="17"/>
  <c r="M70" i="17"/>
  <c r="M62" i="17"/>
  <c r="K54" i="17"/>
  <c r="L54" i="17"/>
  <c r="M54" i="17"/>
  <c r="K46" i="17"/>
  <c r="K38" i="17"/>
  <c r="L38" i="17"/>
  <c r="M38" i="17"/>
  <c r="M116" i="17"/>
  <c r="K116" i="17"/>
  <c r="M108" i="17"/>
  <c r="K108" i="17"/>
  <c r="L102" i="17"/>
  <c r="K34" i="17"/>
  <c r="L34" i="17"/>
  <c r="M34" i="17"/>
  <c r="K115" i="17"/>
  <c r="K107" i="17"/>
  <c r="K98" i="17"/>
  <c r="L98" i="17"/>
  <c r="M98" i="17"/>
  <c r="M90" i="17"/>
  <c r="K78" i="17"/>
  <c r="K74" i="17"/>
  <c r="K66" i="17"/>
  <c r="L66" i="17"/>
  <c r="M66" i="17"/>
  <c r="M58" i="17"/>
  <c r="K50" i="17"/>
  <c r="L50" i="17"/>
  <c r="M50" i="17"/>
  <c r="K42" i="17"/>
  <c r="M120" i="17"/>
  <c r="K120" i="17"/>
  <c r="M112" i="17"/>
  <c r="K112" i="17"/>
  <c r="M104" i="17"/>
  <c r="K104" i="17"/>
  <c r="K37" i="17"/>
  <c r="M100" i="17"/>
  <c r="G96" i="17"/>
  <c r="G92" i="17"/>
  <c r="G88" i="17"/>
  <c r="G84" i="17"/>
  <c r="G80" i="17"/>
  <c r="G76" i="17"/>
  <c r="G72" i="17"/>
  <c r="G68" i="17"/>
  <c r="G64" i="17"/>
  <c r="G60" i="17"/>
  <c r="G56" i="17"/>
  <c r="G52" i="17"/>
  <c r="G48" i="17"/>
  <c r="G44" i="17"/>
  <c r="G40" i="17"/>
  <c r="G36" i="17"/>
  <c r="M119" i="17"/>
  <c r="M111" i="17"/>
  <c r="M103" i="17"/>
  <c r="M33" i="17"/>
  <c r="M95" i="17"/>
  <c r="L87" i="17"/>
  <c r="M87" i="17"/>
  <c r="L79" i="17"/>
  <c r="M79" i="17"/>
  <c r="L71" i="17"/>
  <c r="M71" i="17"/>
  <c r="L63" i="17"/>
  <c r="M63" i="17"/>
  <c r="L47" i="17"/>
  <c r="M47" i="17"/>
  <c r="L39" i="17"/>
  <c r="M39" i="17"/>
  <c r="K119" i="17"/>
  <c r="L116" i="17"/>
  <c r="K111" i="17"/>
  <c r="K103" i="17"/>
  <c r="E98" i="16"/>
  <c r="E95" i="16"/>
  <c r="J28" i="14"/>
  <c r="K30" i="14"/>
  <c r="L26" i="14"/>
  <c r="L27" i="14"/>
  <c r="E14" i="20"/>
  <c r="E31" i="20"/>
  <c r="E13" i="20"/>
  <c r="E27" i="20"/>
  <c r="E32" i="20"/>
  <c r="E30" i="20"/>
  <c r="D18" i="20"/>
  <c r="D19" i="20"/>
  <c r="D22" i="20"/>
  <c r="D23" i="20"/>
  <c r="D29" i="20"/>
  <c r="E17" i="20"/>
  <c r="E21" i="20"/>
  <c r="D28" i="20"/>
  <c r="D12" i="20"/>
  <c r="E15" i="20"/>
  <c r="D16" i="20"/>
  <c r="D20" i="20"/>
  <c r="D24" i="20"/>
  <c r="D25" i="20"/>
  <c r="E26" i="20"/>
  <c r="E36" i="16"/>
  <c r="O22" i="16"/>
  <c r="O50" i="16"/>
  <c r="J29" i="16"/>
  <c r="E44" i="16"/>
  <c r="O28" i="14"/>
  <c r="J26" i="14"/>
  <c r="J27" i="14"/>
  <c r="N28" i="14"/>
  <c r="K29" i="14"/>
  <c r="L30" i="14"/>
  <c r="O26" i="14"/>
  <c r="O27" i="14"/>
  <c r="P28" i="14"/>
  <c r="N29" i="14"/>
  <c r="P29" i="14"/>
  <c r="J30" i="14"/>
  <c r="N26" i="14"/>
  <c r="N27" i="14"/>
  <c r="K28" i="14"/>
  <c r="S28" i="14" s="1"/>
  <c r="L29" i="14"/>
  <c r="O30" i="14"/>
  <c r="P26" i="14"/>
  <c r="T26" i="14" s="1"/>
  <c r="P27" i="14"/>
  <c r="T27" i="14" s="1"/>
  <c r="J29" i="14"/>
  <c r="N30" i="14"/>
  <c r="K26" i="14"/>
  <c r="K27" i="14"/>
  <c r="S27" i="14" s="1"/>
  <c r="L28" i="14"/>
  <c r="T28" i="14" s="1"/>
  <c r="O29" i="14"/>
  <c r="P30" i="14"/>
  <c r="W35" i="16"/>
  <c r="V36" i="16"/>
  <c r="V35" i="16"/>
  <c r="X36" i="16"/>
  <c r="J17" i="16"/>
  <c r="O30" i="16"/>
  <c r="J45" i="16"/>
  <c r="E59" i="16"/>
  <c r="I64" i="16"/>
  <c r="E24" i="16"/>
  <c r="O38" i="16"/>
  <c r="E52" i="16"/>
  <c r="E67" i="16"/>
  <c r="O18" i="16"/>
  <c r="J25" i="16"/>
  <c r="J33" i="16"/>
  <c r="E40" i="16"/>
  <c r="O46" i="16"/>
  <c r="E79" i="16"/>
  <c r="E82" i="16"/>
  <c r="E20" i="16"/>
  <c r="E28" i="16"/>
  <c r="O34" i="16"/>
  <c r="J41" i="16"/>
  <c r="J49" i="16"/>
  <c r="N53" i="16"/>
  <c r="O54" i="16"/>
  <c r="E111" i="16"/>
  <c r="J21" i="16"/>
  <c r="O26" i="16"/>
  <c r="E32" i="16"/>
  <c r="J37" i="16"/>
  <c r="O42" i="16"/>
  <c r="E48" i="16"/>
  <c r="J53" i="16"/>
  <c r="D55" i="16"/>
  <c r="D75" i="16"/>
  <c r="D91" i="16"/>
  <c r="D107" i="16"/>
  <c r="E113" i="16"/>
  <c r="O11" i="16"/>
  <c r="N11" i="16"/>
  <c r="E13" i="16"/>
  <c r="D13" i="16"/>
  <c r="E12" i="16"/>
  <c r="J13" i="16"/>
  <c r="N14" i="16"/>
  <c r="O14" i="16"/>
  <c r="D16" i="16"/>
  <c r="E16" i="16"/>
  <c r="I56" i="16"/>
  <c r="J59" i="16"/>
  <c r="J60" i="16"/>
  <c r="E62" i="16"/>
  <c r="E63" i="16"/>
  <c r="J67" i="16"/>
  <c r="E70" i="16"/>
  <c r="E83" i="16"/>
  <c r="E86" i="16"/>
  <c r="E99" i="16"/>
  <c r="E102" i="16"/>
  <c r="I14" i="16"/>
  <c r="D17" i="16"/>
  <c r="N19" i="16"/>
  <c r="I22" i="16"/>
  <c r="D25" i="16"/>
  <c r="N27" i="16"/>
  <c r="I30" i="16"/>
  <c r="N31" i="16"/>
  <c r="D33" i="16"/>
  <c r="I34" i="16"/>
  <c r="N35" i="16"/>
  <c r="D37" i="16"/>
  <c r="I38" i="16"/>
  <c r="N39" i="16"/>
  <c r="D41" i="16"/>
  <c r="I42" i="16"/>
  <c r="N43" i="16"/>
  <c r="D45" i="16"/>
  <c r="I46" i="16"/>
  <c r="N47" i="16"/>
  <c r="D49" i="16"/>
  <c r="I50" i="16"/>
  <c r="N51" i="16"/>
  <c r="D53" i="16"/>
  <c r="I54" i="16"/>
  <c r="E56" i="16"/>
  <c r="D57" i="16"/>
  <c r="E58" i="16"/>
  <c r="J63" i="16"/>
  <c r="E66" i="16"/>
  <c r="D71" i="16"/>
  <c r="E78" i="16"/>
  <c r="D87" i="16"/>
  <c r="E94" i="16"/>
  <c r="D103" i="16"/>
  <c r="E110" i="16"/>
  <c r="N15" i="16"/>
  <c r="I18" i="16"/>
  <c r="D21" i="16"/>
  <c r="N23" i="16"/>
  <c r="I26" i="16"/>
  <c r="D29" i="16"/>
  <c r="D11" i="16"/>
  <c r="I12" i="16"/>
  <c r="N13" i="16"/>
  <c r="D15" i="16"/>
  <c r="I16" i="16"/>
  <c r="N17" i="16"/>
  <c r="D19" i="16"/>
  <c r="I20" i="16"/>
  <c r="N21" i="16"/>
  <c r="D23" i="16"/>
  <c r="I24" i="16"/>
  <c r="N25" i="16"/>
  <c r="D27" i="16"/>
  <c r="I28" i="16"/>
  <c r="N29" i="16"/>
  <c r="D31" i="16"/>
  <c r="I32" i="16"/>
  <c r="N33" i="16"/>
  <c r="D35" i="16"/>
  <c r="I36" i="16"/>
  <c r="N37" i="16"/>
  <c r="D39" i="16"/>
  <c r="I40" i="16"/>
  <c r="N41" i="16"/>
  <c r="D43" i="16"/>
  <c r="I44" i="16"/>
  <c r="N45" i="16"/>
  <c r="D47" i="16"/>
  <c r="I48" i="16"/>
  <c r="N49" i="16"/>
  <c r="D51" i="16"/>
  <c r="I52" i="16"/>
  <c r="E74" i="16"/>
  <c r="E90" i="16"/>
  <c r="E106" i="16"/>
  <c r="O12" i="16"/>
  <c r="E18" i="16"/>
  <c r="E22" i="16"/>
  <c r="E26" i="16"/>
  <c r="O28" i="16"/>
  <c r="O32" i="16"/>
  <c r="O36" i="16"/>
  <c r="J39" i="16"/>
  <c r="J43" i="16"/>
  <c r="E46" i="16"/>
  <c r="E50" i="16"/>
  <c r="E54" i="16"/>
  <c r="I57" i="16"/>
  <c r="D60" i="16"/>
  <c r="I61" i="16"/>
  <c r="D64" i="16"/>
  <c r="I65" i="16"/>
  <c r="D68" i="16"/>
  <c r="D72" i="16"/>
  <c r="D76" i="16"/>
  <c r="D80" i="16"/>
  <c r="D84" i="16"/>
  <c r="D88" i="16"/>
  <c r="D92" i="16"/>
  <c r="D96" i="16"/>
  <c r="D100" i="16"/>
  <c r="D104" i="16"/>
  <c r="D108" i="16"/>
  <c r="I11" i="16"/>
  <c r="D14" i="16"/>
  <c r="I15" i="16"/>
  <c r="N16" i="16"/>
  <c r="I19" i="16"/>
  <c r="N20" i="16"/>
  <c r="I23" i="16"/>
  <c r="N24" i="16"/>
  <c r="I27" i="16"/>
  <c r="D30" i="16"/>
  <c r="I31" i="16"/>
  <c r="D34" i="16"/>
  <c r="I35" i="16"/>
  <c r="D38" i="16"/>
  <c r="N40" i="16"/>
  <c r="D42" i="16"/>
  <c r="N44" i="16"/>
  <c r="I47" i="16"/>
  <c r="N48" i="16"/>
  <c r="I51" i="16"/>
  <c r="N52" i="16"/>
  <c r="I55" i="16"/>
  <c r="J58" i="16"/>
  <c r="I58" i="16"/>
  <c r="E61" i="16"/>
  <c r="D61" i="16"/>
  <c r="J62" i="16"/>
  <c r="I62" i="16"/>
  <c r="E65" i="16"/>
  <c r="D65" i="16"/>
  <c r="J66" i="16"/>
  <c r="I66" i="16"/>
  <c r="E69" i="16"/>
  <c r="D69" i="16"/>
  <c r="E73" i="16"/>
  <c r="D73" i="16"/>
  <c r="E77" i="16"/>
  <c r="D77" i="16"/>
  <c r="E81" i="16"/>
  <c r="D81" i="16"/>
  <c r="E85" i="16"/>
  <c r="D85" i="16"/>
  <c r="E89" i="16"/>
  <c r="D89" i="16"/>
  <c r="E93" i="16"/>
  <c r="D93" i="16"/>
  <c r="E97" i="16"/>
  <c r="D97" i="16"/>
  <c r="E101" i="16"/>
  <c r="D101" i="16"/>
  <c r="E105" i="16"/>
  <c r="D105" i="16"/>
  <c r="E109" i="16"/>
  <c r="D109" i="16"/>
  <c r="E112" i="16"/>
  <c r="S30" i="14"/>
  <c r="W60" i="14"/>
  <c r="W59" i="14"/>
  <c r="W58" i="14"/>
  <c r="W56" i="14"/>
  <c r="L91" i="17" l="1"/>
  <c r="L46" i="17"/>
  <c r="L78" i="17"/>
  <c r="L95" i="17"/>
  <c r="L62" i="17"/>
  <c r="L94" i="17"/>
  <c r="M65" i="17"/>
  <c r="L59" i="17"/>
  <c r="K91" i="17"/>
  <c r="L118" i="17"/>
  <c r="L49" i="17"/>
  <c r="L81" i="17"/>
  <c r="M55" i="17"/>
  <c r="M78" i="17"/>
  <c r="M46" i="17"/>
  <c r="L65" i="17"/>
  <c r="M91" i="17"/>
  <c r="M118" i="17"/>
  <c r="M97" i="17"/>
  <c r="L55" i="17"/>
  <c r="L100" i="17"/>
  <c r="L58" i="17"/>
  <c r="L90" i="17"/>
  <c r="L51" i="17"/>
  <c r="L83" i="17"/>
  <c r="M42" i="17"/>
  <c r="M74" i="17"/>
  <c r="M40" i="17"/>
  <c r="K40" i="17"/>
  <c r="L40" i="17"/>
  <c r="M44" i="17"/>
  <c r="K44" i="17"/>
  <c r="L44" i="17"/>
  <c r="M60" i="17"/>
  <c r="K60" i="17"/>
  <c r="L60" i="17"/>
  <c r="M76" i="17"/>
  <c r="K76" i="17"/>
  <c r="L76" i="17"/>
  <c r="M92" i="17"/>
  <c r="K92" i="17"/>
  <c r="L92" i="17"/>
  <c r="M72" i="17"/>
  <c r="K72" i="17"/>
  <c r="L72" i="17"/>
  <c r="M48" i="17"/>
  <c r="K48" i="17"/>
  <c r="L48" i="17"/>
  <c r="M64" i="17"/>
  <c r="K64" i="17"/>
  <c r="L64" i="17"/>
  <c r="M80" i="17"/>
  <c r="K80" i="17"/>
  <c r="L80" i="17"/>
  <c r="M96" i="17"/>
  <c r="K96" i="17"/>
  <c r="L96" i="17"/>
  <c r="M56" i="17"/>
  <c r="K56" i="17"/>
  <c r="L56" i="17"/>
  <c r="M88" i="17"/>
  <c r="K88" i="17"/>
  <c r="L88" i="17"/>
  <c r="M36" i="17"/>
  <c r="K36" i="17"/>
  <c r="L36" i="17"/>
  <c r="M52" i="17"/>
  <c r="K52" i="17"/>
  <c r="L52" i="17"/>
  <c r="M68" i="17"/>
  <c r="K68" i="17"/>
  <c r="L68" i="17"/>
  <c r="M84" i="17"/>
  <c r="K84" i="17"/>
  <c r="L84" i="17"/>
  <c r="S26" i="14"/>
  <c r="T29" i="14"/>
  <c r="R28" i="14"/>
  <c r="V28" i="14" s="1"/>
  <c r="R27" i="14"/>
  <c r="V27" i="14" s="1"/>
  <c r="R30" i="14"/>
  <c r="T30" i="14"/>
  <c r="R26" i="14"/>
  <c r="V26" i="14" s="1"/>
  <c r="S29" i="14"/>
  <c r="R29" i="14"/>
  <c r="V30" i="14" l="1"/>
  <c r="V29" i="14"/>
  <c r="C24" i="4" l="1"/>
  <c r="C25" i="4" s="1"/>
  <c r="C22" i="4"/>
  <c r="V28" i="4" s="1"/>
  <c r="V29" i="4" s="1"/>
  <c r="C20" i="4"/>
  <c r="C21" i="4" s="1"/>
  <c r="V16" i="4" s="1"/>
  <c r="C18" i="4"/>
  <c r="S28" i="4" s="1"/>
  <c r="C16" i="4"/>
  <c r="C17" i="4" s="1"/>
  <c r="S16" i="4" s="1"/>
  <c r="X28" i="4" l="1"/>
  <c r="U16" i="4"/>
  <c r="U21" i="4" s="1"/>
  <c r="V21" i="4"/>
  <c r="V22" i="4" s="1"/>
  <c r="R16" i="4"/>
  <c r="R21" i="4" s="1"/>
  <c r="X16" i="4"/>
  <c r="S21" i="4"/>
  <c r="S17" i="4"/>
  <c r="S29" i="4"/>
  <c r="S33" i="4"/>
  <c r="V33" i="4"/>
  <c r="V34" i="4" s="1"/>
  <c r="U28" i="4"/>
  <c r="R28" i="4"/>
  <c r="R33" i="4" s="1"/>
  <c r="V17" i="4"/>
  <c r="V18" i="4"/>
  <c r="S22" i="4" l="1"/>
  <c r="Y22" i="4" s="1"/>
  <c r="Z22" i="4" s="1"/>
  <c r="X20" i="4"/>
  <c r="X32" i="4"/>
  <c r="U33" i="4"/>
  <c r="V35" i="4" s="1"/>
  <c r="V23" i="4"/>
  <c r="S30" i="4"/>
  <c r="V30" i="4"/>
  <c r="S35" i="4"/>
  <c r="S34" i="4"/>
  <c r="Y34" i="4" s="1"/>
  <c r="Y35" i="4" l="1"/>
  <c r="S18" i="4"/>
  <c r="S23" i="4"/>
  <c r="Y23" i="4" s="1"/>
  <c r="AA35" i="4" l="1"/>
  <c r="Z34" i="4"/>
  <c r="Z35" i="4"/>
  <c r="AA23" i="4"/>
  <c r="Z23" i="4"/>
</calcChain>
</file>

<file path=xl/sharedStrings.xml><?xml version="1.0" encoding="utf-8"?>
<sst xmlns="http://schemas.openxmlformats.org/spreadsheetml/2006/main" count="551" uniqueCount="388">
  <si>
    <t>a</t>
  </si>
  <si>
    <t>age</t>
  </si>
  <si>
    <t>min</t>
  </si>
  <si>
    <t>Age</t>
  </si>
  <si>
    <t>Minutes</t>
  </si>
  <si>
    <t>1.0335996861098982, 1.8756172079762925</t>
  </si>
  <si>
    <t>1.0906527975497633, 1.8629161591250314</t>
  </si>
  <si>
    <t>1.1477059089896284, 1.8502151102737703</t>
  </si>
  <si>
    <t>1.2047590204294936, 1.8375140614225092</t>
  </si>
  <si>
    <t>1.2618121318693587, 1.8248130125712478</t>
  </si>
  <si>
    <t>1.3188652433092238, 1.8121119637199865</t>
  </si>
  <si>
    <t>1.3973069210146127, 1.796222951607059</t>
  </si>
  <si>
    <t>1.447222043000069, 1.7866844639197619</t>
  </si>
  <si>
    <t>1.5042751544399342, 1.7739834150685008</t>
  </si>
  <si>
    <t>1.5613282658797993, 1.7612823662172394</t>
  </si>
  <si>
    <t>1.6183813773196645, 1.7485813173659783</t>
  </si>
  <si>
    <t>1.6754302550765792, 1.7369302218864213</t>
  </si>
  <si>
    <t>1.7182116212905774, 1.729504341991384</t>
  </si>
  <si>
    <t>1.7752647327304425, 1.716803293140123</t>
  </si>
  <si>
    <t>1.8323178441703076, 1.7041022442888616</t>
  </si>
  <si>
    <t>1.875094976701355, 1.6977263177655286</t>
  </si>
  <si>
    <t>1.93214808814122, 1.6850252689142675</t>
  </si>
  <si>
    <t>1.9892011995810852, 1.6723242200630064</t>
  </si>
  <si>
    <t>2.031978332112133, 1.6659482935396732</t>
  </si>
  <si>
    <t>2.089031443551998, 1.653247244688412</t>
  </si>
  <si>
    <t>2.1389465655374544, 1.643708757001115</t>
  </si>
  <si>
    <t>2.1888616875229108, 1.6341702693138176</t>
  </si>
  <si>
    <t>2.2316515211028096, 1.6246444826753719</t>
  </si>
  <si>
    <t>2.2886919314938234, 1.6150932939392235</t>
  </si>
  <si>
    <t>2.3457450429336886, 1.6023922450879624</t>
  </si>
  <si>
    <t>2.388522175464736, 1.5960163185646292</t>
  </si>
  <si>
    <t>2.4455752869046017, 1.5833152697133681</t>
  </si>
  <si>
    <t>2.4883524194356488, 1.5769393431900351</t>
  </si>
  <si>
    <t>2.5311422530155476, 1.567413556551589</t>
  </si>
  <si>
    <t>2.588182663406562, 1.5578623678154406</t>
  </si>
  <si>
    <t>2.638097785392018, 1.5483238801281436</t>
  </si>
  <si>
    <t>2.6880129073774746, 1.5387853924408463</t>
  </si>
  <si>
    <t>2.759316595628454, 1.5260589414918828</t>
  </si>
  <si>
    <t>2.809231717613911, 1.5165204538045858</t>
  </si>
  <si>
    <t>2.8591468395993673, 1.5069819661172883</t>
  </si>
  <si>
    <t>2.9019239721304144, 1.5006060395939553</t>
  </si>
  <si>
    <t>2.951839094115871, 1.4910675519066583</t>
  </si>
  <si>
    <t>3.0017542161013275, 1.481529064219361</t>
  </si>
  <si>
    <t>3.044531348632375, 1.475153137696028</t>
  </si>
  <si>
    <t>3.115835036883355, 1.4624266867470643</t>
  </si>
  <si>
    <t>3.165750158868812, 1.4528881990597673</t>
  </si>
  <si>
    <t>3.2014020029943016, 1.4465249735852854</t>
  </si>
  <si>
    <t>3.2584424133853154, 1.4369737848491368</t>
  </si>
  <si>
    <t>3.3297461016362955, 1.4242473339001733</t>
  </si>
  <si>
    <t>3.372523234167343, 1.4178714073768401</t>
  </si>
  <si>
    <t>3.4438269224183236, 1.4051449564278764</t>
  </si>
  <si>
    <t>3.4866040549493706, 1.3987690299045434</t>
  </si>
  <si>
    <t>3.557907743200351, 1.3860425789555797</t>
  </si>
  <si>
    <t>3.6006848757313987, 1.3796666524322467</t>
  </si>
  <si>
    <t>3.671988563982379, 1.3669402014832828</t>
  </si>
  <si>
    <t>3.7147656965134264, 1.3605642749599498</t>
  </si>
  <si>
    <t>3.7575428290444743, 1.3541883484366166</t>
  </si>
  <si>
    <t>3.8074579510299302, 1.3446498607493196</t>
  </si>
  <si>
    <t>3.850235083560978, 1.3382739342259864</t>
  </si>
  <si>
    <t>3.8930122160920257, 1.3318980077026534</t>
  </si>
  <si>
    <t>3.928664060217516, 1.3255347822281716</t>
  </si>
  <si>
    <t>3.9714411927485633, 1.3191588557048386</t>
  </si>
  <si>
    <t>4.028481603139577, 1.30960766696869</t>
  </si>
  <si>
    <t>4.071258735670625, 1.3032317404453568</t>
  </si>
  <si>
    <t>4.114035868201673, 1.2968558139220236</t>
  </si>
  <si>
    <t>4.15681300073272, 1.2904798873986907</t>
  </si>
  <si>
    <t>4.199590133263767, 1.2841039608753575</t>
  </si>
  <si>
    <t>4.256630543654781, 1.2745527721392091</t>
  </si>
  <si>
    <t>4.313670954045795, 1.2650015834030608</t>
  </si>
  <si>
    <t>4.356448086576843, 1.2586256568797278</t>
  </si>
  <si>
    <t>4.384961941247925, 1.25542499256921</t>
  </si>
  <si>
    <t>4.427739073778972, 1.2490490660458768</t>
  </si>
  <si>
    <t>4.4847794841699855, 1.2394978773097283</t>
  </si>
  <si>
    <t>4.527556616701033, 1.2331219507863953</t>
  </si>
  <si>
    <t>4.570333749232081, 1.2267460242630621</t>
  </si>
  <si>
    <t>4.613110881763128, 1.2203700977397292</t>
  </si>
  <si>
    <t>4.6558880142941765, 1.213994171216396</t>
  </si>
  <si>
    <t>4.698665146825224, 1.207618244693063</t>
  </si>
  <si>
    <t>4.727179001496305, 1.2044175803825452</t>
  </si>
  <si>
    <t>4.77708142243291, 1.1980289528103607</t>
  </si>
  <si>
    <t>4.8127332665584, 1.1916657273358788</t>
  </si>
  <si>
    <t>4.862635687495006, 1.1852770997636946</t>
  </si>
  <si>
    <t>4.9054128200260525, 1.1789011732403614</t>
  </si>
  <si>
    <t>4.9481899525571, 1.1725252467170282</t>
  </si>
  <si>
    <t>5.133549059492406, 1.1469961385259932</t>
  </si>
  <si>
    <t>5.176326192023454, 1.1406202120026603</t>
  </si>
  <si>
    <t>5.219103324554501, 1.134244285479327</t>
  </si>
  <si>
    <t>5.269005745491105, 1.1278556579071428</t>
  </si>
  <si>
    <t>5.31890816642771, 1.1214670303349585</t>
  </si>
  <si>
    <t>5.361685298958759, 1.1150911038116251</t>
  </si>
  <si>
    <t>5.411587719895364, 1.1087024762394408</t>
  </si>
  <si>
    <t>5.461490140831969, 1.1023138486672566</t>
  </si>
  <si>
    <t>5.504267273363016, 1.0959379221439234</t>
  </si>
  <si>
    <t>5.56129498270518, 1.0895365935228878</t>
  </si>
  <si>
    <t>5.604072115236227, 1.0831606669995548</t>
  </si>
  <si>
    <t>5.646849247767275, 1.0767847404762216</t>
  </si>
  <si>
    <t>5.703876957109436, 1.070383411855186</t>
  </si>
  <si>
    <t>5.746654089640484, 1.064007485331853</t>
  </si>
  <si>
    <t>5.803681798982647, 1.0576061567108175</t>
  </si>
  <si>
    <t>5.846458931513695, 1.051230230187484</t>
  </si>
  <si>
    <t>5.903486640855857, 1.0448289015664485</t>
  </si>
  <si>
    <t>5.953389061792462, 1.0384402739942642</t>
  </si>
  <si>
    <t>6.003291482729067, 1.0320516464220797</t>
  </si>
  <si>
    <t>6.060319192071231, 1.0256503178010443</t>
  </si>
  <si>
    <t>6.103096324602277, 1.019274391277711</t>
  </si>
  <si>
    <t>6.16012403394444, 1.0128730626566753</t>
  </si>
  <si>
    <t>6.210026454881045, 1.006484435084491</t>
  </si>
  <si>
    <t>6.423886715438581, 0.9809045226980513</t>
  </si>
  <si>
    <t>Raw</t>
  </si>
  <si>
    <t>Index of delim</t>
  </si>
  <si>
    <t>1.0735952889425198, 2.5590606466626555</t>
  </si>
  <si>
    <t>1.1592765644931275, 2.5148101924648616</t>
  </si>
  <si>
    <t>1.1878793265061676, 2.4895605073485543</t>
  </si>
  <si>
    <t>1.280698591511184, 2.4421474919867965</t>
  </si>
  <si>
    <t>1.3163631366855253, 2.432634406397202</t>
  </si>
  <si>
    <t>1.3806558459706093, 2.3915719154610744</t>
  </si>
  <si>
    <t>1.4305963700537683, 2.375733707543552</t>
  </si>
  <si>
    <t>1.5305790266108963, 2.3188584107876045</t>
  </si>
  <si>
    <t>1.6019335190572814, 2.2935325193781897</t>
  </si>
  <si>
    <t>1.8446759647025845, 2.1734059993429615</t>
  </si>
  <si>
    <t>1.8803659119746285, 2.1575931935231414</t>
  </si>
  <si>
    <t>2.1301447386835304, 2.0595029932448514</t>
  </si>
  <si>
    <t>2.1729980775076854, 2.034227906030842</t>
  </si>
  <si>
    <t>2.301431083491638, 1.9899012455399403</t>
  </si>
  <si>
    <t>2.415613512664476, 1.9455999871467413</t>
  </si>
  <si>
    <t>2.444190872579814, 1.9266500222606597</t>
  </si>
  <si>
    <t>2.6154518152902195, 1.8633479947859741</t>
  </si>
  <si>
    <t>2.6796556172333448, 1.8443345246556362</t>
  </si>
  <si>
    <t>2.7510101096797297, 1.8190086332462214</t>
  </si>
  <si>
    <t>2.9293709386979905, 1.76199362495291</t>
  </si>
  <si>
    <t>2.9864748543332604, 1.7366931356411979</t>
  </si>
  <si>
    <t>3.029251986864308, 1.7303172091178647</t>
  </si>
  <si>
    <t>3.086355902499578, 1.7050167198061525</t>
  </si>
  <si>
    <t>3.1291457360794768, 1.6954909331677066</t>
  </si>
  <si>
    <t>3.171935569659376, 1.6859651465292607</t>
  </si>
  <si>
    <t>3.214750805336977, 1.6701396396605894</t>
  </si>
  <si>
    <t>3.257566041014578, 1.654314132791918</t>
  </si>
  <si>
    <t>3.3003558745944774, 1.6447883461534722</t>
  </si>
  <si>
    <t>3.3716722638943084, 1.6289120350893955</t>
  </si>
  <si>
    <t>3.428757127956302, 1.6083363359503526</t>
  </si>
  <si>
    <t>3.5286127740249174, 1.5829596403455326</t>
  </si>
  <si>
    <t>3.599935513849174, 1.5655083992238998</t>
  </si>
  <si>
    <t>3.6569759242401885, 1.5559572104877515</t>
  </si>
  <si>
    <t>3.8138973827975198, 1.5147296059165578</t>
  </si>
  <si>
    <t>3.870937793188534, 1.5051784171804092</t>
  </si>
  <si>
    <t>4.0705982811303585, 1.4670244664312209</t>
  </si>
  <si>
    <t>4.141889268332488, 1.4574478755973699</t>
  </si>
  <si>
    <t>4.184679101912387, 1.4479220889589242</t>
  </si>
  <si>
    <t>4.3985774656164764, 1.4128925962271457</t>
  </si>
  <si>
    <t>4.441329196049821, 1.4128163899340382</t>
  </si>
  <si>
    <t>4.4983823074896865, 1.4001153410827771</t>
  </si>
  <si>
    <t>4.598161747265194, 1.3936378061686339</t>
  </si>
  <si>
    <t>4.712217165949519, 1.3808351489265627</t>
  </si>
  <si>
    <t>4.783520854200499, 1.3681086979775987</t>
  </si>
  <si>
    <t>4.854799140353777, 1.3616819672588607</t>
  </si>
  <si>
    <t>4.911801447598237, 1.3615803588680506</t>
  </si>
  <si>
    <t>4.997355712660332, 1.3488285058213845</t>
  </si>
  <si>
    <t>5.068659400911312, 1.3361020548724207</t>
  </si>
  <si>
    <t>5.154150160729151, 1.3390995024013184</t>
  </si>
  <si>
    <t>5.239666322644693, 1.3357972296999905</t>
  </si>
  <si>
    <t>5.332333175063495, 1.3261825357195858</t>
  </si>
  <si>
    <t>5.43925060429341, 1.3165424396414787</t>
  </si>
  <si>
    <t>5.539004641971215, 1.316364624957561</t>
  </si>
  <si>
    <t>5.645922071201133, 1.3067245288794536</t>
  </si>
  <si>
    <t>5.767090077242163, 1.2970590307036438</t>
  </si>
  <si>
    <t>6.023651264037639, 1.2840023524845474</t>
  </si>
  <si>
    <t>6.301588316049787, 1.2709075711188973</t>
  </si>
  <si>
    <t>Upper CI</t>
  </si>
  <si>
    <t>Lower CI</t>
  </si>
  <si>
    <t>1.0427825444293601, 1.3653271682791728</t>
  </si>
  <si>
    <t>1.2066895798548853, 1.3587353239253683</t>
  </si>
  <si>
    <t>1.3777346047348193, 1.3489809184075996</t>
  </si>
  <si>
    <t>1.5060024970837056, 1.3456024394131643</t>
  </si>
  <si>
    <t>1.79105213645256, 1.3356448171137756</t>
  </si>
  <si>
    <t>1.9549845739757878, 1.3227532525297454</t>
  </si>
  <si>
    <t>2.2186710491768205, 1.3096838732617975</t>
  </si>
  <si>
    <t>2.332675663665741, 1.3094806564801773</t>
  </si>
  <si>
    <t>2.4538436697067727, 1.2998151583043676</t>
  </si>
  <si>
    <t>2.681903702880018, 1.2868092842806762</t>
  </si>
  <si>
    <t>2.8886005718854415, 1.2706916532884258</t>
  </si>
  <si>
    <t>2.9741294348498344, 1.2642395204719852</t>
  </si>
  <si>
    <t>3.387523172860683, 1.2320042584874842</t>
  </si>
  <si>
    <t>3.5158037662584207, 1.225475919377936</t>
  </si>
  <si>
    <t>3.815192889780348, 1.1934438741750555</t>
  </si>
  <si>
    <t>3.872220599122511, 1.18704254555402</t>
  </si>
  <si>
    <t>3.9720254409957216, 1.174265290409651</t>
  </si>
  <si>
    <t>4.114632817497682, 1.1488123885117236</t>
  </si>
  <si>
    <t>4.157409950028729, 1.1424364619883907</t>
  </si>
  <si>
    <t>4.242964215090824, 1.1296846089417245</t>
  </si>
  <si>
    <t>4.328518480152919, 1.1169327558950581</t>
  </si>
  <si>
    <t>4.371295612683967, 1.110556829371725</t>
  </si>
  <si>
    <t>4.485376433465995, 1.0914544518994282</t>
  </si>
  <si>
    <t>4.556680121716975, 1.0787280009504647</t>
  </si>
  <si>
    <t>4.599444553199171, 1.0755019345422443</t>
  </si>
  <si>
    <t>4.670748241450152, 1.0627754835932808</t>
  </si>
  <si>
    <t>4.784816361183328, 1.0468229662360964</t>
  </si>
  <si>
    <t>4.92743643873414, 1.0182202042230561</t>
  </si>
  <si>
    <t>5.098583072004884, 0.9832669177843858</t>
  </si>
  <si>
    <t>5.241190448506844, 0.9578140158864588</t>
  </si>
  <si>
    <t>5.312468734660121, 0.9513872851677201</t>
  </si>
  <si>
    <t>5.455101513259784, 0.9196346630395671</t>
  </si>
  <si>
    <t>5.5263797994130615, 0.9132079323208289</t>
  </si>
  <si>
    <t>5.597708889761745, 0.89418176114164</t>
  </si>
  <si>
    <t>5.668999876963873, 0.8846051703077888</t>
  </si>
  <si>
    <t>5.7403035652148535, 0.8718787193588251</t>
  </si>
  <si>
    <t>5.811619954514685, 0.8560024082947488</t>
  </si>
  <si>
    <t>5.925688074247861, 0.8400498909375647</t>
  </si>
  <si>
    <t>6.039781596078741, 0.817797653350155</t>
  </si>
  <si>
    <t>6.153849715811917, 0.8018451359929712</t>
  </si>
  <si>
    <t>6.267917835545094, 0.7858926186357871</t>
  </si>
  <si>
    <t>6.310694968076142, 0.7795166921124541</t>
  </si>
  <si>
    <t>6.4247757888581685, 0.7604143146401574</t>
  </si>
  <si>
    <t>6.467552921389216, 0.7540383881168244</t>
  </si>
  <si>
    <t>b</t>
  </si>
  <si>
    <t>mRS</t>
  </si>
  <si>
    <t>OR</t>
  </si>
  <si>
    <t>P mRS = 6</t>
  </si>
  <si>
    <t>A</t>
  </si>
  <si>
    <t>B</t>
  </si>
  <si>
    <t>Risk</t>
  </si>
  <si>
    <t>Odds</t>
  </si>
  <si>
    <t>P mRS &gt;2</t>
  </si>
  <si>
    <t>mRS &gt; 2</t>
  </si>
  <si>
    <t>all</t>
  </si>
  <si>
    <t>mean risk</t>
  </si>
  <si>
    <t>mRS = 6</t>
  </si>
  <si>
    <t>P mRS &gt; 2</t>
  </si>
  <si>
    <t>Disability</t>
  </si>
  <si>
    <t>Mortality</t>
  </si>
  <si>
    <t>mean</t>
  </si>
  <si>
    <t>Average</t>
  </si>
  <si>
    <t>Data sources</t>
  </si>
  <si>
    <t>1. Charidimou et al.</t>
  </si>
  <si>
    <t>2. Poels et al.</t>
  </si>
  <si>
    <t>Prevalence of &gt; 0 CMB</t>
  </si>
  <si>
    <t>Prevalence of &gt;1 CMB</t>
  </si>
  <si>
    <t>Prevalence of &gt;10 CMB</t>
  </si>
  <si>
    <t>Age strata</t>
  </si>
  <si>
    <t>mean age</t>
  </si>
  <si>
    <t>n.o. participants</t>
  </si>
  <si>
    <t>n.o. &gt;0 CMBs</t>
  </si>
  <si>
    <t>n.o. &gt;1 CMBs</t>
  </si>
  <si>
    <t xml:space="preserve">Proportion of participants with &gt;1 CMBs that have &gt;10 CMBs: </t>
  </si>
  <si>
    <t xml:space="preserve">Proportion of participants with &gt;0 CMBs that have &gt;10 CMBs: </t>
  </si>
  <si>
    <t>Calculated probabilities</t>
  </si>
  <si>
    <t>% &gt; 0 CMBs</t>
  </si>
  <si>
    <t>% &gt; 1 CMBs</t>
  </si>
  <si>
    <t>95% lower</t>
  </si>
  <si>
    <t>95% upper</t>
  </si>
  <si>
    <t xml:space="preserve"> f(x) = p1*x^2 + p2*x + p3</t>
  </si>
  <si>
    <t>p1</t>
  </si>
  <si>
    <t>p2</t>
  </si>
  <si>
    <t>p3</t>
  </si>
  <si>
    <t>Fitted probabilities</t>
  </si>
  <si>
    <t>% &gt; 10 CMB
from proportionality with &gt;0 CMBs</t>
  </si>
  <si>
    <t>% &gt; 10 CMB
from proportionality with &gt;1 CMBs</t>
  </si>
  <si>
    <t>Fit beta distribution</t>
  </si>
  <si>
    <t>Parameters of quadratic fit</t>
  </si>
  <si>
    <t>% &gt; 10 CMB</t>
  </si>
  <si>
    <t>Format Data for Figure</t>
  </si>
  <si>
    <t>max</t>
  </si>
  <si>
    <t>Bottom Area</t>
  </si>
  <si>
    <t>95% CI</t>
  </si>
  <si>
    <t>Point estimate</t>
  </si>
  <si>
    <t>Schlemm et al.</t>
  </si>
  <si>
    <t>Supplemental Methods</t>
  </si>
  <si>
    <t>1. Estimation of age-specific prevalence of &gt;10 CMBs</t>
  </si>
  <si>
    <t>1. Emberson et al.</t>
  </si>
  <si>
    <t>Upper 95 CI</t>
  </si>
  <si>
    <t>Lower 95 CI</t>
  </si>
  <si>
    <t>2. Modeling time-dependent treatment effect of IVT</t>
  </si>
  <si>
    <t>Hours</t>
  </si>
  <si>
    <t>Charidimou et al., Table 1.</t>
  </si>
  <si>
    <t>Poels et al., Table 2.</t>
  </si>
  <si>
    <t>1. Dijkland et al.</t>
  </si>
  <si>
    <t>2. Chaisinanunkul et al.</t>
  </si>
  <si>
    <t>mRS category</t>
  </si>
  <si>
    <t>Mean utility value</t>
  </si>
  <si>
    <t>3. Mean utility values per mRS category</t>
  </si>
  <si>
    <t>1. Knoflach et al.</t>
  </si>
  <si>
    <t>… quadratic fit</t>
  </si>
  <si>
    <t>(x) = a*exp(b*x)</t>
  </si>
  <si>
    <t>Parameters of fit vs age</t>
  </si>
  <si>
    <t>… exponential fit vs age</t>
  </si>
  <si>
    <r>
      <t xml:space="preserve">OR mRS </t>
    </r>
    <r>
      <rPr>
        <b/>
        <sz val="11"/>
        <color theme="1"/>
        <rFont val="Calibri"/>
        <family val="2"/>
      </rPr>
      <t>≤</t>
    </r>
    <r>
      <rPr>
        <b/>
        <sz val="11"/>
        <color theme="1"/>
        <rFont val="Calibri"/>
        <family val="2"/>
        <scheme val="minor"/>
      </rPr>
      <t xml:space="preserve"> 2</t>
    </r>
  </si>
  <si>
    <t>reference to age 71</t>
  </si>
  <si>
    <t>a. Estimate for all ages</t>
  </si>
  <si>
    <t>b. reference to age 71</t>
  </si>
  <si>
    <t>95% lower,
 reference 61</t>
  </si>
  <si>
    <t>95% upper,
 reference 61</t>
  </si>
  <si>
    <t xml:space="preserve">point estimate,
 reference 61 </t>
  </si>
  <si>
    <t xml:space="preserve">point estimate,
 reference 71 </t>
  </si>
  <si>
    <t>95% lower,
 reference 71</t>
  </si>
  <si>
    <t>95% upper,
 reference 71</t>
  </si>
  <si>
    <t>Re-fit</t>
  </si>
  <si>
    <t>estimate for all ages</t>
  </si>
  <si>
    <t>d. re-fit vs age</t>
  </si>
  <si>
    <t>c. correct incorrect overlaps</t>
  </si>
  <si>
    <t>1. Strbian et al., 2012</t>
  </si>
  <si>
    <t>Strbian et al., Figure 1</t>
  </si>
  <si>
    <t>ECASS sICH -</t>
  </si>
  <si>
    <t>ECASS sICH +</t>
  </si>
  <si>
    <t>Derived probabilities of function outcome / mortality</t>
  </si>
  <si>
    <t>ECASS siCH +</t>
  </si>
  <si>
    <t>ECASS siCH -</t>
  </si>
  <si>
    <t>All participants</t>
  </si>
  <si>
    <r>
      <t xml:space="preserve">P mRS </t>
    </r>
    <r>
      <rPr>
        <sz val="11"/>
        <color theme="1"/>
        <rFont val="Calibri"/>
        <family val="2"/>
      </rPr>
      <t>≤</t>
    </r>
    <r>
      <rPr>
        <sz val="11"/>
        <color theme="1"/>
        <rFont val="Calibri"/>
        <family val="2"/>
        <scheme val="minor"/>
      </rPr>
      <t xml:space="preserve"> 2</t>
    </r>
  </si>
  <si>
    <t>Strbian et al., Table 2</t>
  </si>
  <si>
    <t>univariate RR mRS &gt; 2</t>
  </si>
  <si>
    <t>multivariate RR mRS &gt; 2</t>
  </si>
  <si>
    <t>univariate RR mRS = 6</t>
  </si>
  <si>
    <t>multivariate RR mRS = 6</t>
  </si>
  <si>
    <t>lower 95 CI</t>
  </si>
  <si>
    <t>upper 95 CI</t>
  </si>
  <si>
    <t>mRS ≤ 2</t>
  </si>
  <si>
    <t>Conversion of risk ratios (RR) to odds ratios (OR)</t>
  </si>
  <si>
    <t>Adjustment factor</t>
  </si>
  <si>
    <t>target cell = 0</t>
  </si>
  <si>
    <t>mRS ≤ 5</t>
  </si>
  <si>
    <t>This is achieved by adjusting the raw probabilities of poor outcome in the siCH+ and sICH- groups</t>
  </si>
  <si>
    <t>adjusted RR</t>
  </si>
  <si>
    <t>adjusted OR</t>
  </si>
  <si>
    <t>5. Modeling effect of sICH on outcome</t>
  </si>
  <si>
    <t>age (years)</t>
  </si>
  <si>
    <t>52.2086, 1.2912</t>
  </si>
  <si>
    <t>54.0849, 1.2844</t>
  </si>
  <si>
    <t>55.9612, 1.2771</t>
  </si>
  <si>
    <t>57.8376, 1.2710</t>
  </si>
  <si>
    <t>59.7140, 1.2642</t>
  </si>
  <si>
    <t>61.5903, 1.2569</t>
  </si>
  <si>
    <t>63.4667, 1.2503</t>
  </si>
  <si>
    <t>65.3431, 1.2442</t>
  </si>
  <si>
    <t>67.2195, 1.2377</t>
  </si>
  <si>
    <t>69.0958, 1.2306</t>
  </si>
  <si>
    <t>70.9722, 1.2245</t>
  </si>
  <si>
    <t>72.8486, 1.2182</t>
  </si>
  <si>
    <t>74.7250, 1.2114</t>
  </si>
  <si>
    <t>76.6013, 1.2048</t>
  </si>
  <si>
    <t>78.4778, 1.1990</t>
  </si>
  <si>
    <t>80.3542, 1.1927</t>
  </si>
  <si>
    <t>82.2306, 1.1863</t>
  </si>
  <si>
    <t>84.1069, 1.1795</t>
  </si>
  <si>
    <t>85.9834, 1.1737</t>
  </si>
  <si>
    <t>87.8598, 1.1679</t>
  </si>
  <si>
    <t>89.4803, 1.1620</t>
  </si>
  <si>
    <t>Linear fit</t>
  </si>
  <si>
    <t>Point estimate (fitted)</t>
  </si>
  <si>
    <t>Proportionality factor for OR in reference to age 71</t>
  </si>
  <si>
    <t>4. Modeling the effect of age on outcome</t>
  </si>
  <si>
    <t>6. Modeling age-dependent treatment effect of IVT</t>
  </si>
  <si>
    <t>Microbleeds, Cerebral Hemorrhage, and Functional Outcome After Stroke Thrombolysis. Stroke 2017;48:2084-2090.</t>
  </si>
  <si>
    <t>Prevalence and risk factors of cerebral microbleeds: an update of the Rotterdam scan study. Stroke 2010;41:S103-106.</t>
  </si>
  <si>
    <t>40-50 yr</t>
  </si>
  <si>
    <t>50-59 yr</t>
  </si>
  <si>
    <t>60-69 yr</t>
  </si>
  <si>
    <t>70-79 yr</t>
  </si>
  <si>
    <t>&gt;80 yr</t>
  </si>
  <si>
    <t>Age-Specific Prevalence of Cerebral Microbleeds (10-Year Strata)</t>
  </si>
  <si>
    <t>Effect of treatment delay, age, and stroke severity on the effects of intravenous thrombolysis with alteplase for acute ischaemic stroke: a meta-analysis of individual patient data from randomised trials. Lancet 2014;384:1929-1935.</t>
  </si>
  <si>
    <t>Effect of timing of alteplase treatment on good stroke outcome (mRS 0−1)</t>
  </si>
  <si>
    <t>Emberson et al., Figure 2</t>
  </si>
  <si>
    <t>Delay (hours)</t>
  </si>
  <si>
    <t>Utility-Weighted Modified Rankin Scale as Primary Outcome in Stroke Trials: A Simulation Study. Stroke 2018;49:965-971.</t>
  </si>
  <si>
    <t>Adopting a Patient-Centered Approach to Primary Outcome Analysis of Acute Stroke Trials Using a Utility-Weighted Modified Rankin Scale. Stroke 2015;46:2238-2243.</t>
  </si>
  <si>
    <t>Dijkland et al, Table 2</t>
  </si>
  <si>
    <t>Chaisinanunkul et al, Figure 1</t>
  </si>
  <si>
    <t>Functional recovery after ischemic stroke--a matter of age: data from the Austrian Stroke Unit Registry. Neurology 2012;78:279-285.</t>
  </si>
  <si>
    <t>18-35y</t>
  </si>
  <si>
    <t>36-45y</t>
  </si>
  <si>
    <t>46-55y</t>
  </si>
  <si>
    <t>56-65y</t>
  </si>
  <si>
    <t>65-75y</t>
  </si>
  <si>
    <t>76-85y</t>
  </si>
  <si>
    <t>&gt;85y</t>
  </si>
  <si>
    <t>Knoflach et al, Figure 3</t>
  </si>
  <si>
    <t>(reference)</t>
  </si>
  <si>
    <t>correct for incorrect overlaps</t>
  </si>
  <si>
    <t>Patient outcomes from symptomatic intracerebral hemorrhage after stroke thrombolysis. Neurology 2011;77:341-348.</t>
  </si>
  <si>
    <t>Distribution of 3-month modified Rankin Scale score in patients with symptomatic intracerebral hemorrhage (sICH) according to different definitions</t>
  </si>
  <si>
    <t>Risk ratios of poor outcome (mRS 3–6) and mortality (mRS 6) at 3 months</t>
  </si>
  <si>
    <t>Emberson et al., Webfigure 2</t>
  </si>
  <si>
    <t>Webfigure 2: Effect of alteplase on a good stroke outcome (mRS 0−1) by treatment delay, age and stroke severity</t>
  </si>
  <si>
    <t>Age (years)</t>
  </si>
  <si>
    <t>Baseline Characteristics of Patients</t>
  </si>
  <si>
    <t>Odds ratios (95% confidence interval [CI]) of a good functional outcome (modified Rankin scale [mRS] score&lt;2) 3 months after stroke in different age groups</t>
  </si>
  <si>
    <t>while keeping the mean risk of poor outcome across the whole population (sICH +/-) constant</t>
  </si>
  <si>
    <t>and solving for the adjusted RR</t>
  </si>
  <si>
    <t>Benefit of Intravenous Thrombolysis in Acute Ischaemic Stroke Patients with &gt;10 Cerebral Microbleeds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</si>
</sst>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%"/>
    <numFmt numFmtId="165" formatCode="0.00000"/>
    <numFmt numFmtId="166" formatCode="0.0000"/>
    <numFmt numFmtId="167" formatCode="0.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C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6" fillId="0" borderId="0" applyNumberFormat="0" applyFill="0" applyBorder="0" applyAlignment="0" applyProtection="0"/>
  </cellStyleXfs>
  <cellXfs count="114">
    <xf numFmtId="0" fontId="0" fillId="0" borderId="0" xfId="0"/>
    <xf numFmtId="0" fontId="3" fillId="0" borderId="0" xfId="0" applyFont="1"/>
    <xf numFmtId="0" fontId="0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6" fontId="0" fillId="0" borderId="0" xfId="0" applyNumberFormat="1"/>
    <xf numFmtId="2" fontId="0" fillId="0" borderId="0" xfId="0" applyNumberFormat="1"/>
    <xf numFmtId="0" fontId="4" fillId="0" borderId="0" xfId="0" applyFont="1"/>
    <xf numFmtId="2" fontId="3" fillId="0" borderId="0" xfId="0" applyNumberFormat="1" applyFont="1"/>
    <xf numFmtId="11" fontId="0" fillId="0" borderId="0" xfId="0" applyNumberFormat="1"/>
    <xf numFmtId="10" fontId="0" fillId="0" borderId="0" xfId="1" applyNumberFormat="1" applyFont="1"/>
    <xf numFmtId="0" fontId="0" fillId="0" borderId="0" xfId="0" applyFill="1"/>
    <xf numFmtId="10" fontId="0" fillId="0" borderId="0" xfId="0" applyNumberFormat="1"/>
    <xf numFmtId="0" fontId="0" fillId="3" borderId="0" xfId="0" applyFill="1" applyBorder="1"/>
    <xf numFmtId="0" fontId="3" fillId="3" borderId="0" xfId="0" applyFont="1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3" fillId="3" borderId="0" xfId="0" applyFont="1" applyFill="1" applyBorder="1"/>
    <xf numFmtId="2" fontId="0" fillId="3" borderId="0" xfId="0" applyNumberFormat="1" applyFill="1" applyBorder="1" applyAlignment="1">
      <alignment horizontal="center"/>
    </xf>
    <xf numFmtId="0" fontId="0" fillId="0" borderId="0" xfId="0" applyFill="1" applyBorder="1"/>
    <xf numFmtId="0" fontId="3" fillId="0" borderId="0" xfId="0" applyFont="1" applyAlignment="1">
      <alignment horizontal="center"/>
    </xf>
    <xf numFmtId="0" fontId="6" fillId="0" borderId="0" xfId="3"/>
    <xf numFmtId="165" fontId="0" fillId="0" borderId="0" xfId="0" applyNumberFormat="1"/>
    <xf numFmtId="0" fontId="7" fillId="0" borderId="0" xfId="0" applyFont="1"/>
    <xf numFmtId="0" fontId="8" fillId="0" borderId="0" xfId="0" applyFont="1"/>
    <xf numFmtId="0" fontId="0" fillId="4" borderId="0" xfId="0" applyFill="1"/>
    <xf numFmtId="0" fontId="0" fillId="5" borderId="0" xfId="0" applyFill="1"/>
    <xf numFmtId="0" fontId="3" fillId="0" borderId="0" xfId="0" applyFont="1" applyBorder="1" applyAlignment="1">
      <alignment horizontal="center"/>
    </xf>
    <xf numFmtId="0" fontId="0" fillId="0" borderId="0" xfId="0" applyBorder="1"/>
    <xf numFmtId="0" fontId="3" fillId="0" borderId="0" xfId="0" applyFont="1" applyBorder="1"/>
    <xf numFmtId="2" fontId="0" fillId="0" borderId="0" xfId="0" applyNumberFormat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0" fontId="3" fillId="3" borderId="13" xfId="0" applyFont="1" applyFill="1" applyBorder="1" applyAlignment="1"/>
    <xf numFmtId="0" fontId="3" fillId="3" borderId="12" xfId="0" applyFont="1" applyFill="1" applyBorder="1" applyAlignment="1">
      <alignment horizontal="center"/>
    </xf>
    <xf numFmtId="0" fontId="0" fillId="3" borderId="13" xfId="0" applyFill="1" applyBorder="1"/>
    <xf numFmtId="10" fontId="0" fillId="3" borderId="0" xfId="0" applyNumberFormat="1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16" xfId="0" applyFill="1" applyBorder="1"/>
    <xf numFmtId="2" fontId="0" fillId="3" borderId="0" xfId="0" applyNumberFormat="1" applyFill="1" applyBorder="1"/>
    <xf numFmtId="2" fontId="0" fillId="3" borderId="15" xfId="0" applyNumberFormat="1" applyFill="1" applyBorder="1"/>
    <xf numFmtId="0" fontId="0" fillId="0" borderId="0" xfId="0" applyAlignment="1">
      <alignment horizontal="left"/>
    </xf>
    <xf numFmtId="0" fontId="4" fillId="3" borderId="9" xfId="0" applyFont="1" applyFill="1" applyBorder="1"/>
    <xf numFmtId="0" fontId="4" fillId="3" borderId="10" xfId="0" applyFont="1" applyFill="1" applyBorder="1"/>
    <xf numFmtId="0" fontId="4" fillId="3" borderId="11" xfId="0" applyFont="1" applyFill="1" applyBorder="1"/>
    <xf numFmtId="0" fontId="4" fillId="3" borderId="12" xfId="0" applyFont="1" applyFill="1" applyBorder="1"/>
    <xf numFmtId="0" fontId="4" fillId="3" borderId="13" xfId="0" applyFont="1" applyFill="1" applyBorder="1"/>
    <xf numFmtId="0" fontId="4" fillId="3" borderId="0" xfId="0" applyFont="1" applyFill="1" applyBorder="1"/>
    <xf numFmtId="0" fontId="5" fillId="3" borderId="0" xfId="0" applyFont="1" applyFill="1" applyBorder="1" applyAlignment="1">
      <alignment horizontal="center"/>
    </xf>
    <xf numFmtId="0" fontId="5" fillId="3" borderId="0" xfId="0" applyFont="1" applyFill="1" applyBorder="1"/>
    <xf numFmtId="0" fontId="4" fillId="3" borderId="0" xfId="0" applyFont="1" applyFill="1" applyBorder="1" applyAlignment="1">
      <alignment horizontal="center"/>
    </xf>
    <xf numFmtId="0" fontId="4" fillId="3" borderId="14" xfId="0" applyFont="1" applyFill="1" applyBorder="1"/>
    <xf numFmtId="0" fontId="4" fillId="3" borderId="15" xfId="0" applyFont="1" applyFill="1" applyBorder="1"/>
    <xf numFmtId="0" fontId="4" fillId="3" borderId="16" xfId="0" applyFont="1" applyFill="1" applyBorder="1"/>
    <xf numFmtId="0" fontId="3" fillId="0" borderId="0" xfId="0" applyFont="1" applyAlignment="1">
      <alignment horizontal="center" wrapText="1"/>
    </xf>
    <xf numFmtId="0" fontId="3" fillId="0" borderId="0" xfId="0" applyFont="1" applyAlignment="1">
      <alignment horizontal="center" vertical="center"/>
    </xf>
    <xf numFmtId="0" fontId="10" fillId="0" borderId="0" xfId="0" applyFont="1"/>
    <xf numFmtId="0" fontId="10" fillId="0" borderId="0" xfId="0" applyFont="1" applyBorder="1"/>
    <xf numFmtId="0" fontId="10" fillId="3" borderId="0" xfId="0" applyFont="1" applyFill="1" applyBorder="1"/>
    <xf numFmtId="0" fontId="3" fillId="3" borderId="0" xfId="0" applyFont="1" applyFill="1" applyBorder="1" applyAlignment="1">
      <alignment horizontal="center" wrapText="1"/>
    </xf>
    <xf numFmtId="0" fontId="3" fillId="0" borderId="1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3" fillId="0" borderId="4" xfId="0" applyFont="1" applyBorder="1"/>
    <xf numFmtId="164" fontId="0" fillId="0" borderId="0" xfId="1" applyNumberFormat="1" applyFont="1" applyBorder="1"/>
    <xf numFmtId="164" fontId="0" fillId="0" borderId="0" xfId="0" applyNumberFormat="1" applyBorder="1"/>
    <xf numFmtId="164" fontId="0" fillId="0" borderId="0" xfId="1" applyNumberFormat="1" applyFont="1" applyFill="1" applyBorder="1"/>
    <xf numFmtId="0" fontId="0" fillId="0" borderId="0" xfId="0" applyBorder="1" applyAlignment="1">
      <alignment horizontal="right"/>
    </xf>
    <xf numFmtId="167" fontId="0" fillId="0" borderId="0" xfId="0" applyNumberFormat="1" applyBorder="1"/>
    <xf numFmtId="166" fontId="0" fillId="0" borderId="0" xfId="0" applyNumberFormat="1" applyBorder="1"/>
    <xf numFmtId="0" fontId="3" fillId="0" borderId="6" xfId="0" applyFont="1" applyBorder="1"/>
    <xf numFmtId="0" fontId="0" fillId="0" borderId="7" xfId="0" applyBorder="1"/>
    <xf numFmtId="2" fontId="0" fillId="0" borderId="7" xfId="0" applyNumberFormat="1" applyBorder="1"/>
    <xf numFmtId="9" fontId="0" fillId="0" borderId="0" xfId="1" applyFont="1" applyFill="1" applyBorder="1"/>
    <xf numFmtId="9" fontId="0" fillId="0" borderId="0" xfId="0" applyNumberFormat="1" applyBorder="1"/>
    <xf numFmtId="0" fontId="0" fillId="3" borderId="17" xfId="0" applyFill="1" applyBorder="1" applyAlignment="1">
      <alignment horizontal="right"/>
    </xf>
    <xf numFmtId="2" fontId="0" fillId="3" borderId="18" xfId="0" applyNumberFormat="1" applyFill="1" applyBorder="1"/>
    <xf numFmtId="2" fontId="0" fillId="3" borderId="19" xfId="0" applyNumberFormat="1" applyFill="1" applyBorder="1"/>
    <xf numFmtId="165" fontId="0" fillId="3" borderId="0" xfId="0" applyNumberFormat="1" applyFill="1" applyBorder="1"/>
    <xf numFmtId="0" fontId="10" fillId="0" borderId="0" xfId="0" applyFont="1" applyFill="1" applyBorder="1"/>
    <xf numFmtId="164" fontId="0" fillId="0" borderId="0" xfId="0" applyNumberFormat="1" applyFill="1" applyBorder="1"/>
    <xf numFmtId="0" fontId="0" fillId="0" borderId="7" xfId="0" applyFill="1" applyBorder="1"/>
    <xf numFmtId="2" fontId="0" fillId="0" borderId="7" xfId="0" applyNumberFormat="1" applyFill="1" applyBorder="1"/>
    <xf numFmtId="0" fontId="0" fillId="0" borderId="2" xfId="0" applyFill="1" applyBorder="1"/>
    <xf numFmtId="0" fontId="3" fillId="0" borderId="0" xfId="0" applyFont="1" applyFill="1" applyBorder="1"/>
    <xf numFmtId="2" fontId="0" fillId="0" borderId="0" xfId="0" applyNumberFormat="1" applyFill="1" applyBorder="1"/>
    <xf numFmtId="0" fontId="4" fillId="0" borderId="2" xfId="0" applyFont="1" applyBorder="1"/>
    <xf numFmtId="0" fontId="5" fillId="0" borderId="0" xfId="0" applyFont="1" applyBorder="1"/>
    <xf numFmtId="0" fontId="4" fillId="0" borderId="0" xfId="0" applyFont="1" applyBorder="1"/>
    <xf numFmtId="166" fontId="4" fillId="0" borderId="0" xfId="0" applyNumberFormat="1" applyFont="1" applyBorder="1"/>
    <xf numFmtId="167" fontId="4" fillId="0" borderId="0" xfId="0" applyNumberFormat="1" applyFont="1" applyBorder="1"/>
    <xf numFmtId="0" fontId="3" fillId="0" borderId="0" xfId="0" applyFont="1" applyAlignment="1">
      <alignment horizontal="left"/>
    </xf>
    <xf numFmtId="0" fontId="6" fillId="0" borderId="0" xfId="3" quotePrefix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3" fillId="0" borderId="2" xfId="0" applyFont="1" applyBorder="1"/>
    <xf numFmtId="2" fontId="0" fillId="0" borderId="5" xfId="0" applyNumberFormat="1" applyBorder="1"/>
    <xf numFmtId="2" fontId="0" fillId="0" borderId="8" xfId="0" applyNumberFormat="1" applyBorder="1"/>
    <xf numFmtId="0" fontId="12" fillId="0" borderId="0" xfId="0" applyFont="1"/>
    <xf numFmtId="2" fontId="4" fillId="3" borderId="18" xfId="2" applyNumberFormat="1" applyFont="1" applyFill="1" applyBorder="1"/>
    <xf numFmtId="0" fontId="7" fillId="0" borderId="0" xfId="0" applyFont="1" applyAlignment="1">
      <alignment horizontal="left" wrapText="1"/>
    </xf>
    <xf numFmtId="0" fontId="7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wrapText="1"/>
    </xf>
    <xf numFmtId="0" fontId="3" fillId="3" borderId="0" xfId="0" applyFont="1" applyFill="1" applyBorder="1" applyAlignment="1">
      <alignment horizontal="center"/>
    </xf>
    <xf numFmtId="0" fontId="5" fillId="3" borderId="0" xfId="0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4">
    <cellStyle name="Good" xfId="2" builtinId="26"/>
    <cellStyle name="Hyperlink" xfId="3" builtinId="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2"/>
          <c:order val="2"/>
          <c:tx>
            <c:strRef>
              <c:f>'pCMB age'!$V$53</c:f>
              <c:strCache>
                <c:ptCount val="1"/>
                <c:pt idx="0">
                  <c:v>Bottom Area</c:v>
                </c:pt>
              </c:strCache>
            </c:strRef>
          </c:tx>
          <c:spPr>
            <a:noFill/>
            <a:ln>
              <a:noFill/>
            </a:ln>
            <a:effectLst/>
          </c:spPr>
          <c:cat>
            <c:numRef>
              <c:f>'pCMB age'!$U$54:$U$62</c:f>
              <c:numCache>
                <c:formatCode>General</c:formatCode>
                <c:ptCount val="9"/>
                <c:pt idx="0">
                  <c:v>0</c:v>
                </c:pt>
                <c:pt idx="1">
                  <c:v>100</c:v>
                </c:pt>
                <c:pt idx="2">
                  <c:v>100</c:v>
                </c:pt>
                <c:pt idx="3">
                  <c:v>300</c:v>
                </c:pt>
                <c:pt idx="4">
                  <c:v>500</c:v>
                </c:pt>
                <c:pt idx="5">
                  <c:v>700</c:v>
                </c:pt>
                <c:pt idx="6">
                  <c:v>900</c:v>
                </c:pt>
                <c:pt idx="7">
                  <c:v>900</c:v>
                </c:pt>
                <c:pt idx="8">
                  <c:v>1000</c:v>
                </c:pt>
              </c:numCache>
            </c:numRef>
          </c:cat>
          <c:val>
            <c:numRef>
              <c:f>'pCMB age'!$V$54:$V$62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 formatCode="0.00%">
                  <c:v>2.9025000000000019E-3</c:v>
                </c:pt>
                <c:pt idx="3" formatCode="0.00%">
                  <c:v>6.6089000000000026E-3</c:v>
                </c:pt>
                <c:pt idx="4" formatCode="0.00%">
                  <c:v>1.1358100000000001E-2</c:v>
                </c:pt>
                <c:pt idx="5" formatCode="0.00%">
                  <c:v>1.7150099999999998E-2</c:v>
                </c:pt>
                <c:pt idx="6" formatCode="0.00%">
                  <c:v>2.3984900000000003E-2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ser>
          <c:idx val="3"/>
          <c:order val="4"/>
          <c:tx>
            <c:strRef>
              <c:f>'pCMB age'!$W$53</c:f>
              <c:strCache>
                <c:ptCount val="1"/>
                <c:pt idx="0">
                  <c:v>95% CI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numRef>
              <c:f>'pCMB age'!$U$54:$U$62</c:f>
              <c:numCache>
                <c:formatCode>General</c:formatCode>
                <c:ptCount val="9"/>
                <c:pt idx="0">
                  <c:v>0</c:v>
                </c:pt>
                <c:pt idx="1">
                  <c:v>100</c:v>
                </c:pt>
                <c:pt idx="2">
                  <c:v>100</c:v>
                </c:pt>
                <c:pt idx="3">
                  <c:v>300</c:v>
                </c:pt>
                <c:pt idx="4">
                  <c:v>500</c:v>
                </c:pt>
                <c:pt idx="5">
                  <c:v>700</c:v>
                </c:pt>
                <c:pt idx="6">
                  <c:v>900</c:v>
                </c:pt>
                <c:pt idx="7">
                  <c:v>900</c:v>
                </c:pt>
                <c:pt idx="8">
                  <c:v>1000</c:v>
                </c:pt>
              </c:numCache>
            </c:numRef>
          </c:cat>
          <c:val>
            <c:numRef>
              <c:f>'pCMB age'!$W$54:$W$62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 formatCode="0.00%">
                  <c:v>1.9125000000000049E-3</c:v>
                </c:pt>
                <c:pt idx="3" formatCode="0.00%">
                  <c:v>2.2350999999999951E-3</c:v>
                </c:pt>
                <c:pt idx="4" formatCode="0.00%">
                  <c:v>5.1728999999999959E-3</c:v>
                </c:pt>
                <c:pt idx="5" formatCode="0.00%">
                  <c:v>1.0725899999999993E-2</c:v>
                </c:pt>
                <c:pt idx="6" formatCode="0.00%">
                  <c:v>1.8894100000000004E-2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30148928"/>
        <c:axId val="-1330150016"/>
      </c:areaChart>
      <c:scatterChart>
        <c:scatterStyle val="lineMarker"/>
        <c:varyColors val="0"/>
        <c:ser>
          <c:idx val="0"/>
          <c:order val="0"/>
          <c:tx>
            <c:strRef>
              <c:f>'pCMB age'!$S$55</c:f>
              <c:strCache>
                <c:ptCount val="1"/>
                <c:pt idx="0">
                  <c:v>95% lower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xVal>
            <c:numRef>
              <c:f>'pCMB age'!$Q$56:$Q$60</c:f>
              <c:numCache>
                <c:formatCode>General</c:formatCode>
                <c:ptCount val="5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</c:numCache>
            </c:numRef>
          </c:xVal>
          <c:yVal>
            <c:numRef>
              <c:f>'pCMB age'!$S$56:$S$60</c:f>
              <c:numCache>
                <c:formatCode>0.00%</c:formatCode>
                <c:ptCount val="5"/>
                <c:pt idx="0">
                  <c:v>2.9025000000000019E-3</c:v>
                </c:pt>
                <c:pt idx="1">
                  <c:v>6.6089000000000026E-3</c:v>
                </c:pt>
                <c:pt idx="2">
                  <c:v>1.1358100000000001E-2</c:v>
                </c:pt>
                <c:pt idx="3">
                  <c:v>1.7150099999999998E-2</c:v>
                </c:pt>
                <c:pt idx="4">
                  <c:v>2.3984900000000003E-2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'pCMB age'!$T$55</c:f>
              <c:strCache>
                <c:ptCount val="1"/>
                <c:pt idx="0">
                  <c:v>95% upper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xVal>
            <c:numRef>
              <c:f>'pCMB age'!$Q$56:$Q$60</c:f>
              <c:numCache>
                <c:formatCode>General</c:formatCode>
                <c:ptCount val="5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</c:numCache>
            </c:numRef>
          </c:xVal>
          <c:yVal>
            <c:numRef>
              <c:f>'pCMB age'!$T$56:$T$60</c:f>
              <c:numCache>
                <c:formatCode>0.00%</c:formatCode>
                <c:ptCount val="5"/>
                <c:pt idx="0">
                  <c:v>4.8150000000000068E-3</c:v>
                </c:pt>
                <c:pt idx="1">
                  <c:v>8.8439999999999977E-3</c:v>
                </c:pt>
                <c:pt idx="2">
                  <c:v>1.6530999999999997E-2</c:v>
                </c:pt>
                <c:pt idx="3">
                  <c:v>2.7875999999999991E-2</c:v>
                </c:pt>
                <c:pt idx="4">
                  <c:v>4.2879000000000007E-2</c:v>
                </c:pt>
              </c:numCache>
            </c:numRef>
          </c:yVal>
          <c:smooth val="0"/>
        </c:ser>
        <c:ser>
          <c:idx val="4"/>
          <c:order val="3"/>
          <c:tx>
            <c:strRef>
              <c:f>'pCMB age'!$R$55</c:f>
              <c:strCache>
                <c:ptCount val="1"/>
                <c:pt idx="0">
                  <c:v>Point estimate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'pCMB age'!$Q$56:$Q$60</c:f>
              <c:numCache>
                <c:formatCode>General</c:formatCode>
                <c:ptCount val="5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</c:numCache>
            </c:numRef>
          </c:xVal>
          <c:yVal>
            <c:numRef>
              <c:f>'pCMB age'!$R$56:$R$60</c:f>
              <c:numCache>
                <c:formatCode>0.00%</c:formatCode>
                <c:ptCount val="5"/>
                <c:pt idx="0">
                  <c:v>3.7200000000000011E-3</c:v>
                </c:pt>
                <c:pt idx="1">
                  <c:v>7.6619999999999987E-3</c:v>
                </c:pt>
                <c:pt idx="2">
                  <c:v>1.3846000000000001E-2</c:v>
                </c:pt>
                <c:pt idx="3">
                  <c:v>2.2272000000000011E-2</c:v>
                </c:pt>
                <c:pt idx="4">
                  <c:v>3.2939999999999997E-2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30158720"/>
        <c:axId val="-1330158176"/>
      </c:scatterChart>
      <c:valAx>
        <c:axId val="-1330158720"/>
        <c:scaling>
          <c:orientation val="minMax"/>
          <c:max val="95"/>
          <c:min val="45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Age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30158176"/>
        <c:crosses val="autoZero"/>
        <c:crossBetween val="midCat"/>
      </c:valAx>
      <c:valAx>
        <c:axId val="-133015817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Prevalence of &gt;10 CMBs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30158720"/>
        <c:crosses val="autoZero"/>
        <c:crossBetween val="midCat"/>
        <c:majorUnit val="1.0000000000000002E-2"/>
      </c:valAx>
      <c:valAx>
        <c:axId val="-133015001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-1330148928"/>
        <c:crosses val="max"/>
        <c:crossBetween val="between"/>
      </c:valAx>
      <c:dateAx>
        <c:axId val="-1330148928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-1330150016"/>
        <c:crosses val="max"/>
        <c:auto val="0"/>
        <c:lblOffset val="100"/>
        <c:baseTimeUnit val="days"/>
        <c:majorUnit val="1"/>
        <c:majorTimeUnit val="months"/>
      </c:date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20368362541578305"/>
          <c:y val="0.12094852726742486"/>
          <c:w val="0.46339331725019339"/>
          <c:h val="7.8125546806649182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'outcome IVT delay'!$D$9:$E$9</c:f>
              <c:strCache>
                <c:ptCount val="1"/>
                <c:pt idx="0">
                  <c:v>Point estimate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47186981978774778"/>
                  <c:y val="7.2491980169145523E-3"/>
                </c:manualLayout>
              </c:layout>
              <c:numFmt formatCode="General" sourceLinked="0"/>
              <c:spPr>
                <a:noFill/>
                <a:ln>
                  <a:solidFill>
                    <a:schemeClr val="accent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'outcome IVT delay'!$D$11:$D$113</c:f>
              <c:numCache>
                <c:formatCode>General</c:formatCode>
                <c:ptCount val="103"/>
                <c:pt idx="0">
                  <c:v>1.0335996861098899</c:v>
                </c:pt>
                <c:pt idx="1">
                  <c:v>1.09065279754976</c:v>
                </c:pt>
                <c:pt idx="2">
                  <c:v>1.14770590898962</c:v>
                </c:pt>
                <c:pt idx="3">
                  <c:v>1.20475902042949</c:v>
                </c:pt>
                <c:pt idx="4">
                  <c:v>1.26181213186935</c:v>
                </c:pt>
                <c:pt idx="5">
                  <c:v>1.3188652433092201</c:v>
                </c:pt>
                <c:pt idx="6">
                  <c:v>1.3973069210146101</c:v>
                </c:pt>
                <c:pt idx="7">
                  <c:v>1.44722204300006</c:v>
                </c:pt>
                <c:pt idx="8">
                  <c:v>1.50427515443993</c:v>
                </c:pt>
                <c:pt idx="9">
                  <c:v>1.56132826587979</c:v>
                </c:pt>
                <c:pt idx="10">
                  <c:v>1.61838137731966</c:v>
                </c:pt>
                <c:pt idx="11">
                  <c:v>1.6754302550765701</c:v>
                </c:pt>
                <c:pt idx="12">
                  <c:v>1.71821162129057</c:v>
                </c:pt>
                <c:pt idx="13">
                  <c:v>1.7752647327304401</c:v>
                </c:pt>
                <c:pt idx="14">
                  <c:v>1.8323178441703001</c:v>
                </c:pt>
                <c:pt idx="15">
                  <c:v>1.8750949767013501</c:v>
                </c:pt>
                <c:pt idx="16">
                  <c:v>1.9321480881412201</c:v>
                </c:pt>
                <c:pt idx="17">
                  <c:v>1.9892011995810801</c:v>
                </c:pt>
                <c:pt idx="18">
                  <c:v>2.0319783321121299</c:v>
                </c:pt>
                <c:pt idx="19">
                  <c:v>2.0890314435519901</c:v>
                </c:pt>
                <c:pt idx="20">
                  <c:v>2.13894656553745</c:v>
                </c:pt>
                <c:pt idx="21">
                  <c:v>2.1888616875229099</c:v>
                </c:pt>
                <c:pt idx="22">
                  <c:v>2.2316515211027999</c:v>
                </c:pt>
                <c:pt idx="23">
                  <c:v>2.2886919314938199</c:v>
                </c:pt>
                <c:pt idx="24">
                  <c:v>2.3457450429336801</c:v>
                </c:pt>
                <c:pt idx="25">
                  <c:v>2.3885221754647299</c:v>
                </c:pt>
                <c:pt idx="26">
                  <c:v>2.4455752869045999</c:v>
                </c:pt>
                <c:pt idx="27">
                  <c:v>2.4883524194356399</c:v>
                </c:pt>
                <c:pt idx="28">
                  <c:v>2.5311422530155401</c:v>
                </c:pt>
                <c:pt idx="29">
                  <c:v>2.5881826634065601</c:v>
                </c:pt>
                <c:pt idx="30">
                  <c:v>2.6380977853920098</c:v>
                </c:pt>
                <c:pt idx="31">
                  <c:v>2.6880129073774701</c:v>
                </c:pt>
                <c:pt idx="32">
                  <c:v>2.7593165956284502</c:v>
                </c:pt>
                <c:pt idx="33">
                  <c:v>2.8092317176139101</c:v>
                </c:pt>
                <c:pt idx="34">
                  <c:v>2.8591468395993598</c:v>
                </c:pt>
                <c:pt idx="35">
                  <c:v>2.90192397213041</c:v>
                </c:pt>
                <c:pt idx="36">
                  <c:v>2.9518390941158699</c:v>
                </c:pt>
                <c:pt idx="37">
                  <c:v>3.00175421610132</c:v>
                </c:pt>
                <c:pt idx="38">
                  <c:v>3.0445313486323702</c:v>
                </c:pt>
                <c:pt idx="39">
                  <c:v>3.1158350368833498</c:v>
                </c:pt>
                <c:pt idx="40">
                  <c:v>3.1657501588688102</c:v>
                </c:pt>
                <c:pt idx="41">
                  <c:v>3.2014020029942998</c:v>
                </c:pt>
                <c:pt idx="42">
                  <c:v>3.25844241338531</c:v>
                </c:pt>
                <c:pt idx="43">
                  <c:v>3.3297461016362901</c:v>
                </c:pt>
                <c:pt idx="44">
                  <c:v>3.3725232341673399</c:v>
                </c:pt>
                <c:pt idx="45">
                  <c:v>3.44382692241832</c:v>
                </c:pt>
                <c:pt idx="46">
                  <c:v>3.4866040549493702</c:v>
                </c:pt>
                <c:pt idx="47">
                  <c:v>3.5579077432003499</c:v>
                </c:pt>
                <c:pt idx="48">
                  <c:v>3.6006848757313898</c:v>
                </c:pt>
                <c:pt idx="49">
                  <c:v>3.6719885639823699</c:v>
                </c:pt>
                <c:pt idx="50">
                  <c:v>3.7147656965134201</c:v>
                </c:pt>
                <c:pt idx="51">
                  <c:v>3.7575428290444699</c:v>
                </c:pt>
                <c:pt idx="52">
                  <c:v>3.8074579510299298</c:v>
                </c:pt>
                <c:pt idx="53">
                  <c:v>3.8502350835609702</c:v>
                </c:pt>
                <c:pt idx="54">
                  <c:v>3.89301221609202</c:v>
                </c:pt>
                <c:pt idx="55">
                  <c:v>3.92866406021751</c:v>
                </c:pt>
                <c:pt idx="56">
                  <c:v>3.9714411927485598</c:v>
                </c:pt>
                <c:pt idx="57">
                  <c:v>4.0284816031395696</c:v>
                </c:pt>
                <c:pt idx="58">
                  <c:v>4.0712587356706198</c:v>
                </c:pt>
                <c:pt idx="59">
                  <c:v>4.11403586820167</c:v>
                </c:pt>
                <c:pt idx="60">
                  <c:v>4.1568130007327202</c:v>
                </c:pt>
                <c:pt idx="61">
                  <c:v>4.1995901332637597</c:v>
                </c:pt>
                <c:pt idx="62">
                  <c:v>4.2566305436547802</c:v>
                </c:pt>
                <c:pt idx="63">
                  <c:v>4.31367095404579</c:v>
                </c:pt>
                <c:pt idx="64">
                  <c:v>4.3564480865768402</c:v>
                </c:pt>
                <c:pt idx="65">
                  <c:v>4.3849619412479202</c:v>
                </c:pt>
                <c:pt idx="66">
                  <c:v>4.4277390737789704</c:v>
                </c:pt>
                <c:pt idx="67">
                  <c:v>4.4847794841699802</c:v>
                </c:pt>
                <c:pt idx="68">
                  <c:v>4.5275566167010304</c:v>
                </c:pt>
                <c:pt idx="69">
                  <c:v>4.5703337492320797</c:v>
                </c:pt>
                <c:pt idx="70">
                  <c:v>4.6131108817631201</c:v>
                </c:pt>
                <c:pt idx="71">
                  <c:v>4.6558880142941703</c:v>
                </c:pt>
                <c:pt idx="72">
                  <c:v>4.6986651468252196</c:v>
                </c:pt>
                <c:pt idx="73">
                  <c:v>4.7271790014963004</c:v>
                </c:pt>
                <c:pt idx="74">
                  <c:v>4.7770814224329099</c:v>
                </c:pt>
                <c:pt idx="75">
                  <c:v>4.8127332665583999</c:v>
                </c:pt>
                <c:pt idx="76">
                  <c:v>4.8626356874949996</c:v>
                </c:pt>
                <c:pt idx="77">
                  <c:v>4.9054128200260498</c:v>
                </c:pt>
                <c:pt idx="78">
                  <c:v>4.9481899525571</c:v>
                </c:pt>
                <c:pt idx="79">
                  <c:v>5.1335490594923998</c:v>
                </c:pt>
                <c:pt idx="80">
                  <c:v>5.17632619202345</c:v>
                </c:pt>
                <c:pt idx="81">
                  <c:v>5.2191033245545002</c:v>
                </c:pt>
                <c:pt idx="82">
                  <c:v>5.2690057454910999</c:v>
                </c:pt>
                <c:pt idx="83">
                  <c:v>5.3189081664277102</c:v>
                </c:pt>
                <c:pt idx="84">
                  <c:v>5.3616852989587498</c:v>
                </c:pt>
                <c:pt idx="85">
                  <c:v>5.4115877198953601</c:v>
                </c:pt>
                <c:pt idx="86">
                  <c:v>5.4614901408319598</c:v>
                </c:pt>
                <c:pt idx="87">
                  <c:v>5.50426727336301</c:v>
                </c:pt>
                <c:pt idx="88">
                  <c:v>5.5612949827051796</c:v>
                </c:pt>
                <c:pt idx="89">
                  <c:v>5.6040721152362201</c:v>
                </c:pt>
                <c:pt idx="90">
                  <c:v>5.6468492477672703</c:v>
                </c:pt>
                <c:pt idx="91">
                  <c:v>5.7038769571094301</c:v>
                </c:pt>
                <c:pt idx="92">
                  <c:v>5.7466540896404803</c:v>
                </c:pt>
                <c:pt idx="93">
                  <c:v>5.8036817989826401</c:v>
                </c:pt>
                <c:pt idx="94">
                  <c:v>5.8464589315136903</c:v>
                </c:pt>
                <c:pt idx="95">
                  <c:v>5.9034866408558502</c:v>
                </c:pt>
                <c:pt idx="96">
                  <c:v>5.9533890617924596</c:v>
                </c:pt>
                <c:pt idx="97">
                  <c:v>6.0032914827290602</c:v>
                </c:pt>
                <c:pt idx="98">
                  <c:v>6.0603191920712298</c:v>
                </c:pt>
                <c:pt idx="99">
                  <c:v>6.1030963246022703</c:v>
                </c:pt>
                <c:pt idx="100">
                  <c:v>6.1601240339444399</c:v>
                </c:pt>
                <c:pt idx="101">
                  <c:v>6.2100264548810404</c:v>
                </c:pt>
                <c:pt idx="102">
                  <c:v>6.4238867154385799</c:v>
                </c:pt>
              </c:numCache>
            </c:numRef>
          </c:xVal>
          <c:yVal>
            <c:numRef>
              <c:f>'outcome IVT delay'!$E$11:$E$113</c:f>
              <c:numCache>
                <c:formatCode>General</c:formatCode>
                <c:ptCount val="103"/>
                <c:pt idx="0">
                  <c:v>1.8756172079762901</c:v>
                </c:pt>
                <c:pt idx="1">
                  <c:v>1.8629161591250301</c:v>
                </c:pt>
                <c:pt idx="2">
                  <c:v>1.8502151102737701</c:v>
                </c:pt>
                <c:pt idx="3">
                  <c:v>1.8375140614225001</c:v>
                </c:pt>
                <c:pt idx="4">
                  <c:v>1.8248130125712401</c:v>
                </c:pt>
                <c:pt idx="5">
                  <c:v>1.8121119637199801</c:v>
                </c:pt>
                <c:pt idx="6">
                  <c:v>1.79622295160705</c:v>
                </c:pt>
                <c:pt idx="7">
                  <c:v>1.7866844639197601</c:v>
                </c:pt>
                <c:pt idx="8">
                  <c:v>1.7739834150685001</c:v>
                </c:pt>
                <c:pt idx="9">
                  <c:v>1.7612823662172301</c:v>
                </c:pt>
                <c:pt idx="10">
                  <c:v>1.7485813173659699</c:v>
                </c:pt>
                <c:pt idx="11">
                  <c:v>1.73693022188642</c:v>
                </c:pt>
                <c:pt idx="12">
                  <c:v>1.72950434199138</c:v>
                </c:pt>
                <c:pt idx="13">
                  <c:v>1.71680329314012</c:v>
                </c:pt>
                <c:pt idx="14">
                  <c:v>1.70410224428886</c:v>
                </c:pt>
                <c:pt idx="15">
                  <c:v>1.69772631776552</c:v>
                </c:pt>
                <c:pt idx="16">
                  <c:v>1.68502526891426</c:v>
                </c:pt>
                <c:pt idx="17">
                  <c:v>1.672324220063</c:v>
                </c:pt>
                <c:pt idx="18">
                  <c:v>1.6659482935396701</c:v>
                </c:pt>
                <c:pt idx="19">
                  <c:v>1.6532472446884099</c:v>
                </c:pt>
                <c:pt idx="20">
                  <c:v>1.64370875700111</c:v>
                </c:pt>
                <c:pt idx="21">
                  <c:v>1.63417026931381</c:v>
                </c:pt>
                <c:pt idx="22">
                  <c:v>1.6246444826753701</c:v>
                </c:pt>
                <c:pt idx="23">
                  <c:v>1.61509329393922</c:v>
                </c:pt>
                <c:pt idx="24">
                  <c:v>1.60239224508796</c:v>
                </c:pt>
                <c:pt idx="25">
                  <c:v>1.5960163185646199</c:v>
                </c:pt>
                <c:pt idx="26">
                  <c:v>1.5833152697133599</c:v>
                </c:pt>
                <c:pt idx="27">
                  <c:v>1.57693934319003</c:v>
                </c:pt>
                <c:pt idx="28">
                  <c:v>1.5674135565515801</c:v>
                </c:pt>
                <c:pt idx="29">
                  <c:v>1.55786236781544</c:v>
                </c:pt>
                <c:pt idx="30">
                  <c:v>1.54832388012814</c:v>
                </c:pt>
                <c:pt idx="31">
                  <c:v>1.5387853924408399</c:v>
                </c:pt>
                <c:pt idx="32">
                  <c:v>1.5260589414918799</c:v>
                </c:pt>
                <c:pt idx="33">
                  <c:v>1.51652045380458</c:v>
                </c:pt>
                <c:pt idx="34">
                  <c:v>1.5069819661172801</c:v>
                </c:pt>
                <c:pt idx="35">
                  <c:v>1.50060603959395</c:v>
                </c:pt>
                <c:pt idx="36">
                  <c:v>1.4910675519066501</c:v>
                </c:pt>
                <c:pt idx="37">
                  <c:v>1.4815290642193599</c:v>
                </c:pt>
                <c:pt idx="38">
                  <c:v>1.4751531376960201</c:v>
                </c:pt>
                <c:pt idx="39">
                  <c:v>1.4624266867470599</c:v>
                </c:pt>
                <c:pt idx="40">
                  <c:v>1.45288819905976</c:v>
                </c:pt>
                <c:pt idx="41">
                  <c:v>1.4465249735852801</c:v>
                </c:pt>
                <c:pt idx="42">
                  <c:v>1.43697378484913</c:v>
                </c:pt>
                <c:pt idx="43">
                  <c:v>1.42424733390017</c:v>
                </c:pt>
                <c:pt idx="44">
                  <c:v>1.4178714073768399</c:v>
                </c:pt>
                <c:pt idx="45">
                  <c:v>1.40514495642787</c:v>
                </c:pt>
                <c:pt idx="46">
                  <c:v>1.3987690299045401</c:v>
                </c:pt>
                <c:pt idx="47">
                  <c:v>1.3860425789555699</c:v>
                </c:pt>
                <c:pt idx="48">
                  <c:v>1.3796666524322401</c:v>
                </c:pt>
                <c:pt idx="49">
                  <c:v>1.3669402014832801</c:v>
                </c:pt>
                <c:pt idx="50">
                  <c:v>1.36056427495994</c:v>
                </c:pt>
                <c:pt idx="51">
                  <c:v>1.35418834843661</c:v>
                </c:pt>
                <c:pt idx="52">
                  <c:v>1.34464986074931</c:v>
                </c:pt>
                <c:pt idx="53">
                  <c:v>1.33827393422598</c:v>
                </c:pt>
                <c:pt idx="54">
                  <c:v>1.3318980077026501</c:v>
                </c:pt>
                <c:pt idx="55">
                  <c:v>1.32553478222817</c:v>
                </c:pt>
                <c:pt idx="56">
                  <c:v>1.3191588557048299</c:v>
                </c:pt>
                <c:pt idx="57">
                  <c:v>1.30960766696869</c:v>
                </c:pt>
                <c:pt idx="58">
                  <c:v>1.30323174044535</c:v>
                </c:pt>
                <c:pt idx="59">
                  <c:v>1.2968558139220201</c:v>
                </c:pt>
                <c:pt idx="60">
                  <c:v>1.29047988739869</c:v>
                </c:pt>
                <c:pt idx="61">
                  <c:v>1.2841039608753499</c:v>
                </c:pt>
                <c:pt idx="62">
                  <c:v>1.2745527721392</c:v>
                </c:pt>
                <c:pt idx="63">
                  <c:v>1.2650015834030599</c:v>
                </c:pt>
                <c:pt idx="64">
                  <c:v>1.2586256568797201</c:v>
                </c:pt>
                <c:pt idx="65">
                  <c:v>1.25542499256921</c:v>
                </c:pt>
                <c:pt idx="66">
                  <c:v>1.24904906604587</c:v>
                </c:pt>
                <c:pt idx="67">
                  <c:v>1.2394978773097201</c:v>
                </c:pt>
                <c:pt idx="68">
                  <c:v>1.23312195078639</c:v>
                </c:pt>
                <c:pt idx="69">
                  <c:v>1.2267460242630599</c:v>
                </c:pt>
                <c:pt idx="70">
                  <c:v>1.2203700977397201</c:v>
                </c:pt>
                <c:pt idx="71">
                  <c:v>1.21399417121639</c:v>
                </c:pt>
                <c:pt idx="72">
                  <c:v>1.2076182446930599</c:v>
                </c:pt>
                <c:pt idx="73">
                  <c:v>1.2044175803825401</c:v>
                </c:pt>
                <c:pt idx="74">
                  <c:v>1.19802895281036</c:v>
                </c:pt>
                <c:pt idx="75">
                  <c:v>1.19166572733587</c:v>
                </c:pt>
                <c:pt idx="76">
                  <c:v>1.1852770997636899</c:v>
                </c:pt>
                <c:pt idx="77">
                  <c:v>1.17890117324036</c:v>
                </c:pt>
                <c:pt idx="78">
                  <c:v>1.17252524671702</c:v>
                </c:pt>
                <c:pt idx="79">
                  <c:v>1.1469961385259899</c:v>
                </c:pt>
                <c:pt idx="80">
                  <c:v>1.1406202120026601</c:v>
                </c:pt>
                <c:pt idx="81">
                  <c:v>1.13424428547932</c:v>
                </c:pt>
                <c:pt idx="82">
                  <c:v>1.1278556579071399</c:v>
                </c:pt>
                <c:pt idx="83">
                  <c:v>1.1214670303349501</c:v>
                </c:pt>
                <c:pt idx="84">
                  <c:v>1.11509110381162</c:v>
                </c:pt>
                <c:pt idx="85">
                  <c:v>1.10870247623944</c:v>
                </c:pt>
                <c:pt idx="86">
                  <c:v>1.1023138486672499</c:v>
                </c:pt>
                <c:pt idx="87">
                  <c:v>1.0959379221439201</c:v>
                </c:pt>
                <c:pt idx="88">
                  <c:v>1.08953659352288</c:v>
                </c:pt>
                <c:pt idx="89">
                  <c:v>1.0831606669995499</c:v>
                </c:pt>
                <c:pt idx="90">
                  <c:v>1.0767847404762201</c:v>
                </c:pt>
                <c:pt idx="91">
                  <c:v>1.07038341185518</c:v>
                </c:pt>
                <c:pt idx="92">
                  <c:v>1.06400748533185</c:v>
                </c:pt>
                <c:pt idx="93">
                  <c:v>1.0576061567108099</c:v>
                </c:pt>
                <c:pt idx="94">
                  <c:v>1.0512302301874801</c:v>
                </c:pt>
                <c:pt idx="95">
                  <c:v>1.04482890156644</c:v>
                </c:pt>
                <c:pt idx="96">
                  <c:v>1.03844027399426</c:v>
                </c:pt>
                <c:pt idx="97">
                  <c:v>1.0320516464220699</c:v>
                </c:pt>
                <c:pt idx="98">
                  <c:v>1.0256503178010401</c:v>
                </c:pt>
                <c:pt idx="99">
                  <c:v>1.01927439127771</c:v>
                </c:pt>
                <c:pt idx="100">
                  <c:v>1.01287306265667</c:v>
                </c:pt>
                <c:pt idx="101">
                  <c:v>1.0064844350844899</c:v>
                </c:pt>
                <c:pt idx="102">
                  <c:v>0.98090452269805095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'outcome IVT delay'!$N$9:$O$9</c:f>
              <c:strCache>
                <c:ptCount val="1"/>
                <c:pt idx="0">
                  <c:v>Lower 95 CI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2.7396916613426012E-2"/>
                  <c:y val="9.8997521143190433E-3"/>
                </c:manualLayout>
              </c:layout>
              <c:numFmt formatCode="General" sourceLinked="0"/>
              <c:spPr>
                <a:noFill/>
                <a:ln>
                  <a:solidFill>
                    <a:schemeClr val="accent2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'outcome IVT delay'!$N$11:$N$54</c:f>
              <c:numCache>
                <c:formatCode>General</c:formatCode>
                <c:ptCount val="44"/>
                <c:pt idx="0">
                  <c:v>1.0427825444293599</c:v>
                </c:pt>
                <c:pt idx="1">
                  <c:v>1.20668957985488</c:v>
                </c:pt>
                <c:pt idx="2">
                  <c:v>1.37773460473481</c:v>
                </c:pt>
                <c:pt idx="3">
                  <c:v>1.5060024970837</c:v>
                </c:pt>
                <c:pt idx="4">
                  <c:v>1.79105213645256</c:v>
                </c:pt>
                <c:pt idx="5">
                  <c:v>1.9549845739757801</c:v>
                </c:pt>
                <c:pt idx="6">
                  <c:v>2.21867104917682</c:v>
                </c:pt>
                <c:pt idx="7">
                  <c:v>2.3326756636657402</c:v>
                </c:pt>
                <c:pt idx="8">
                  <c:v>2.45384366970677</c:v>
                </c:pt>
                <c:pt idx="9">
                  <c:v>2.6819037028800099</c:v>
                </c:pt>
                <c:pt idx="10">
                  <c:v>2.8886005718854402</c:v>
                </c:pt>
                <c:pt idx="11">
                  <c:v>2.9741294348498299</c:v>
                </c:pt>
                <c:pt idx="12">
                  <c:v>3.3875231728606798</c:v>
                </c:pt>
                <c:pt idx="13">
                  <c:v>3.5158037662584198</c:v>
                </c:pt>
                <c:pt idx="14">
                  <c:v>3.8151928897803402</c:v>
                </c:pt>
                <c:pt idx="15">
                  <c:v>3.8722205991225098</c:v>
                </c:pt>
                <c:pt idx="16">
                  <c:v>3.9720254409957199</c:v>
                </c:pt>
                <c:pt idx="17">
                  <c:v>4.1146328174976796</c:v>
                </c:pt>
                <c:pt idx="18">
                  <c:v>4.15740995002872</c:v>
                </c:pt>
                <c:pt idx="19">
                  <c:v>4.2429642150908196</c:v>
                </c:pt>
                <c:pt idx="20">
                  <c:v>4.3285184801529102</c:v>
                </c:pt>
                <c:pt idx="21">
                  <c:v>4.3712956126839604</c:v>
                </c:pt>
                <c:pt idx="22">
                  <c:v>4.4853764334659898</c:v>
                </c:pt>
                <c:pt idx="23">
                  <c:v>4.5566801217169699</c:v>
                </c:pt>
                <c:pt idx="24">
                  <c:v>4.5994445531991701</c:v>
                </c:pt>
                <c:pt idx="25">
                  <c:v>4.6707482414501502</c:v>
                </c:pt>
                <c:pt idx="26">
                  <c:v>4.7848163611833199</c:v>
                </c:pt>
                <c:pt idx="27">
                  <c:v>4.9274364387341398</c:v>
                </c:pt>
                <c:pt idx="28">
                  <c:v>5.0985830720048799</c:v>
                </c:pt>
                <c:pt idx="29">
                  <c:v>5.2411904485068401</c:v>
                </c:pt>
                <c:pt idx="30">
                  <c:v>5.3124687346601203</c:v>
                </c:pt>
                <c:pt idx="31">
                  <c:v>5.4551015132597804</c:v>
                </c:pt>
                <c:pt idx="32">
                  <c:v>5.5263797994130597</c:v>
                </c:pt>
                <c:pt idx="33">
                  <c:v>5.5977088897617397</c:v>
                </c:pt>
                <c:pt idx="34">
                  <c:v>5.6689998769638699</c:v>
                </c:pt>
                <c:pt idx="35">
                  <c:v>5.74030356521485</c:v>
                </c:pt>
                <c:pt idx="36">
                  <c:v>5.8116199545146801</c:v>
                </c:pt>
                <c:pt idx="37">
                  <c:v>5.9256880742478604</c:v>
                </c:pt>
                <c:pt idx="38">
                  <c:v>6.0397815960787398</c:v>
                </c:pt>
                <c:pt idx="39">
                  <c:v>6.1538497158119103</c:v>
                </c:pt>
                <c:pt idx="40">
                  <c:v>6.2679178355450897</c:v>
                </c:pt>
                <c:pt idx="41">
                  <c:v>6.3106949680761399</c:v>
                </c:pt>
                <c:pt idx="42">
                  <c:v>6.4247757888581596</c:v>
                </c:pt>
                <c:pt idx="43">
                  <c:v>6.4675529213892098</c:v>
                </c:pt>
              </c:numCache>
            </c:numRef>
          </c:xVal>
          <c:yVal>
            <c:numRef>
              <c:f>'outcome IVT delay'!$O$11:$O$54</c:f>
              <c:numCache>
                <c:formatCode>General</c:formatCode>
                <c:ptCount val="44"/>
                <c:pt idx="0">
                  <c:v>1.3653271682791699</c:v>
                </c:pt>
                <c:pt idx="1">
                  <c:v>1.3587353239253599</c:v>
                </c:pt>
                <c:pt idx="2">
                  <c:v>1.34898091840759</c:v>
                </c:pt>
                <c:pt idx="3">
                  <c:v>1.34560243941316</c:v>
                </c:pt>
                <c:pt idx="4">
                  <c:v>1.33564481711377</c:v>
                </c:pt>
                <c:pt idx="5">
                  <c:v>1.3227532525297401</c:v>
                </c:pt>
                <c:pt idx="6">
                  <c:v>1.3096838732617899</c:v>
                </c:pt>
                <c:pt idx="7">
                  <c:v>1.30948065648017</c:v>
                </c:pt>
                <c:pt idx="8">
                  <c:v>1.29981515830436</c:v>
                </c:pt>
                <c:pt idx="9">
                  <c:v>1.28680928428067</c:v>
                </c:pt>
                <c:pt idx="10">
                  <c:v>1.27069165328842</c:v>
                </c:pt>
                <c:pt idx="11">
                  <c:v>1.2642395204719801</c:v>
                </c:pt>
                <c:pt idx="12">
                  <c:v>1.23200425848748</c:v>
                </c:pt>
                <c:pt idx="13">
                  <c:v>1.2254759193779301</c:v>
                </c:pt>
                <c:pt idx="14">
                  <c:v>1.1934438741750499</c:v>
                </c:pt>
                <c:pt idx="15">
                  <c:v>1.1870425455540199</c:v>
                </c:pt>
                <c:pt idx="16">
                  <c:v>1.17426529040965</c:v>
                </c:pt>
                <c:pt idx="17">
                  <c:v>1.1488123885117201</c:v>
                </c:pt>
                <c:pt idx="18">
                  <c:v>1.14243646198839</c:v>
                </c:pt>
                <c:pt idx="19">
                  <c:v>1.1296846089417201</c:v>
                </c:pt>
                <c:pt idx="20">
                  <c:v>1.1169327558950499</c:v>
                </c:pt>
                <c:pt idx="21">
                  <c:v>1.1105568293717201</c:v>
                </c:pt>
                <c:pt idx="22">
                  <c:v>1.09145445189942</c:v>
                </c:pt>
                <c:pt idx="23">
                  <c:v>1.0787280009504601</c:v>
                </c:pt>
                <c:pt idx="24">
                  <c:v>1.0755019345422401</c:v>
                </c:pt>
                <c:pt idx="25">
                  <c:v>1.0627754835932799</c:v>
                </c:pt>
                <c:pt idx="26">
                  <c:v>1.0468229662360899</c:v>
                </c:pt>
                <c:pt idx="27">
                  <c:v>1.0182202042230499</c:v>
                </c:pt>
                <c:pt idx="28">
                  <c:v>0.98326691778438502</c:v>
                </c:pt>
                <c:pt idx="29">
                  <c:v>0.95781401588645798</c:v>
                </c:pt>
                <c:pt idx="30">
                  <c:v>0.95138728516771998</c:v>
                </c:pt>
                <c:pt idx="31">
                  <c:v>0.91963466303956698</c:v>
                </c:pt>
                <c:pt idx="32">
                  <c:v>0.91320793232082798</c:v>
                </c:pt>
                <c:pt idx="33">
                  <c:v>0.89418176114164005</c:v>
                </c:pt>
                <c:pt idx="34">
                  <c:v>0.88460517030778796</c:v>
                </c:pt>
                <c:pt idx="35">
                  <c:v>0.87187871935882499</c:v>
                </c:pt>
                <c:pt idx="36">
                  <c:v>0.85600240829474805</c:v>
                </c:pt>
                <c:pt idx="37">
                  <c:v>0.84004989093756399</c:v>
                </c:pt>
                <c:pt idx="38">
                  <c:v>0.81779765335015497</c:v>
                </c:pt>
                <c:pt idx="39">
                  <c:v>0.80184513599297103</c:v>
                </c:pt>
                <c:pt idx="40">
                  <c:v>0.78589261863578697</c:v>
                </c:pt>
                <c:pt idx="41">
                  <c:v>0.779516692112454</c:v>
                </c:pt>
                <c:pt idx="42">
                  <c:v>0.76041431464015696</c:v>
                </c:pt>
                <c:pt idx="43">
                  <c:v>0.754038388116824</c:v>
                </c:pt>
              </c:numCache>
            </c:numRef>
          </c:yVal>
          <c:smooth val="0"/>
        </c:ser>
        <c:ser>
          <c:idx val="1"/>
          <c:order val="2"/>
          <c:tx>
            <c:strRef>
              <c:f>'outcome IVT delay'!$I$9:$J$9</c:f>
              <c:strCache>
                <c:ptCount val="1"/>
                <c:pt idx="0">
                  <c:v>Upper 95 CI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1.8083333333333333E-2"/>
                  <c:y val="-0.35522710702828814"/>
                </c:manualLayout>
              </c:layout>
              <c:numFmt formatCode="General" sourceLinked="0"/>
              <c:spPr>
                <a:noFill/>
                <a:ln>
                  <a:solidFill>
                    <a:schemeClr val="accent3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'outcome IVT delay'!$I$11:$I$67</c:f>
              <c:numCache>
                <c:formatCode>General</c:formatCode>
                <c:ptCount val="57"/>
                <c:pt idx="0">
                  <c:v>1.07359528894251</c:v>
                </c:pt>
                <c:pt idx="1">
                  <c:v>1.15927656449312</c:v>
                </c:pt>
                <c:pt idx="2">
                  <c:v>1.18787932650616</c:v>
                </c:pt>
                <c:pt idx="3">
                  <c:v>1.2806985915111799</c:v>
                </c:pt>
                <c:pt idx="4">
                  <c:v>1.31636313668552</c:v>
                </c:pt>
                <c:pt idx="5">
                  <c:v>1.3806558459706</c:v>
                </c:pt>
                <c:pt idx="6">
                  <c:v>1.4305963700537601</c:v>
                </c:pt>
                <c:pt idx="7">
                  <c:v>1.5305790266108901</c:v>
                </c:pt>
                <c:pt idx="8">
                  <c:v>1.6019335190572801</c:v>
                </c:pt>
                <c:pt idx="9">
                  <c:v>1.8446759647025801</c:v>
                </c:pt>
                <c:pt idx="10">
                  <c:v>1.8803659119746201</c:v>
                </c:pt>
                <c:pt idx="11">
                  <c:v>2.1301447386835299</c:v>
                </c:pt>
                <c:pt idx="12">
                  <c:v>2.17299807750768</c:v>
                </c:pt>
                <c:pt idx="13">
                  <c:v>2.3014310834916301</c:v>
                </c:pt>
                <c:pt idx="14">
                  <c:v>2.41561351266447</c:v>
                </c:pt>
                <c:pt idx="15">
                  <c:v>2.44419087257981</c:v>
                </c:pt>
                <c:pt idx="16">
                  <c:v>2.6154518152902102</c:v>
                </c:pt>
                <c:pt idx="17">
                  <c:v>2.6796556172333399</c:v>
                </c:pt>
                <c:pt idx="18">
                  <c:v>2.7510101096797199</c:v>
                </c:pt>
                <c:pt idx="19">
                  <c:v>2.92937093869799</c:v>
                </c:pt>
                <c:pt idx="20">
                  <c:v>2.98647485433326</c:v>
                </c:pt>
                <c:pt idx="21">
                  <c:v>3.0292519868643</c:v>
                </c:pt>
                <c:pt idx="22">
                  <c:v>3.0863559024995699</c:v>
                </c:pt>
                <c:pt idx="23">
                  <c:v>3.1291457360794701</c:v>
                </c:pt>
                <c:pt idx="24">
                  <c:v>3.1719355696593698</c:v>
                </c:pt>
                <c:pt idx="25">
                  <c:v>3.21475080533697</c:v>
                </c:pt>
                <c:pt idx="26">
                  <c:v>3.2575660410145701</c:v>
                </c:pt>
                <c:pt idx="27">
                  <c:v>3.3003558745944699</c:v>
                </c:pt>
                <c:pt idx="28">
                  <c:v>3.3716722638943</c:v>
                </c:pt>
                <c:pt idx="29">
                  <c:v>3.4287571279562998</c:v>
                </c:pt>
                <c:pt idx="30">
                  <c:v>3.5286127740249098</c:v>
                </c:pt>
                <c:pt idx="31">
                  <c:v>3.5999355138491702</c:v>
                </c:pt>
                <c:pt idx="32">
                  <c:v>3.65697592424018</c:v>
                </c:pt>
                <c:pt idx="33">
                  <c:v>3.81389738279751</c:v>
                </c:pt>
                <c:pt idx="34">
                  <c:v>3.87093779318853</c:v>
                </c:pt>
                <c:pt idx="35">
                  <c:v>4.0705982811303496</c:v>
                </c:pt>
                <c:pt idx="36">
                  <c:v>4.1418892683324797</c:v>
                </c:pt>
                <c:pt idx="37">
                  <c:v>4.1846791019123799</c:v>
                </c:pt>
                <c:pt idx="38">
                  <c:v>4.3985774656164702</c:v>
                </c:pt>
                <c:pt idx="39">
                  <c:v>4.4413291960498196</c:v>
                </c:pt>
                <c:pt idx="40">
                  <c:v>4.4983823074896803</c:v>
                </c:pt>
                <c:pt idx="41">
                  <c:v>4.5981617472651903</c:v>
                </c:pt>
                <c:pt idx="42">
                  <c:v>4.71221716594951</c:v>
                </c:pt>
                <c:pt idx="43">
                  <c:v>4.7835208542004901</c:v>
                </c:pt>
                <c:pt idx="44">
                  <c:v>4.8547991403537702</c:v>
                </c:pt>
                <c:pt idx="45">
                  <c:v>4.9118014475982301</c:v>
                </c:pt>
                <c:pt idx="46">
                  <c:v>4.9973557126603296</c:v>
                </c:pt>
                <c:pt idx="47">
                  <c:v>5.0686594009113097</c:v>
                </c:pt>
                <c:pt idx="48">
                  <c:v>5.1541501607291504</c:v>
                </c:pt>
                <c:pt idx="49">
                  <c:v>5.2396663226446902</c:v>
                </c:pt>
                <c:pt idx="50">
                  <c:v>5.3323331750634901</c:v>
                </c:pt>
                <c:pt idx="51">
                  <c:v>5.4392506042934103</c:v>
                </c:pt>
                <c:pt idx="52">
                  <c:v>5.5390046419712098</c:v>
                </c:pt>
                <c:pt idx="53">
                  <c:v>5.64592207120113</c:v>
                </c:pt>
                <c:pt idx="54">
                  <c:v>5.7670900772421598</c:v>
                </c:pt>
                <c:pt idx="55">
                  <c:v>6.0236512640376301</c:v>
                </c:pt>
                <c:pt idx="56">
                  <c:v>6.3015883160497799</c:v>
                </c:pt>
              </c:numCache>
            </c:numRef>
          </c:xVal>
          <c:yVal>
            <c:numRef>
              <c:f>'outcome IVT delay'!$J$11:$J$67</c:f>
              <c:numCache>
                <c:formatCode>General</c:formatCode>
                <c:ptCount val="57"/>
                <c:pt idx="0">
                  <c:v>2.5590606466626502</c:v>
                </c:pt>
                <c:pt idx="1">
                  <c:v>2.5148101924648598</c:v>
                </c:pt>
                <c:pt idx="2">
                  <c:v>2.4895605073485498</c:v>
                </c:pt>
                <c:pt idx="3">
                  <c:v>2.4421474919867898</c:v>
                </c:pt>
                <c:pt idx="4">
                  <c:v>2.4326344063972001</c:v>
                </c:pt>
                <c:pt idx="5">
                  <c:v>2.39157191546107</c:v>
                </c:pt>
                <c:pt idx="6">
                  <c:v>2.3757337075435498</c:v>
                </c:pt>
                <c:pt idx="7">
                  <c:v>2.3188584107876</c:v>
                </c:pt>
                <c:pt idx="8">
                  <c:v>2.2935325193781799</c:v>
                </c:pt>
                <c:pt idx="9">
                  <c:v>2.1734059993429602</c:v>
                </c:pt>
                <c:pt idx="10">
                  <c:v>2.1575931935231401</c:v>
                </c:pt>
                <c:pt idx="11">
                  <c:v>2.0595029932448501</c:v>
                </c:pt>
                <c:pt idx="12">
                  <c:v>2.0342279060308401</c:v>
                </c:pt>
                <c:pt idx="13">
                  <c:v>1.9899012455399401</c:v>
                </c:pt>
                <c:pt idx="14">
                  <c:v>1.94559998714674</c:v>
                </c:pt>
                <c:pt idx="15">
                  <c:v>1.92665002226065</c:v>
                </c:pt>
                <c:pt idx="16">
                  <c:v>1.8633479947859699</c:v>
                </c:pt>
                <c:pt idx="17">
                  <c:v>1.84433452465563</c:v>
                </c:pt>
                <c:pt idx="18">
                  <c:v>1.8190086332462201</c:v>
                </c:pt>
                <c:pt idx="19">
                  <c:v>1.76199362495291</c:v>
                </c:pt>
                <c:pt idx="20">
                  <c:v>1.7366931356411901</c:v>
                </c:pt>
                <c:pt idx="21">
                  <c:v>1.73031720911786</c:v>
                </c:pt>
                <c:pt idx="22">
                  <c:v>1.7050167198061501</c:v>
                </c:pt>
                <c:pt idx="23">
                  <c:v>1.6954909331676999</c:v>
                </c:pt>
                <c:pt idx="24">
                  <c:v>1.68596514652926</c:v>
                </c:pt>
                <c:pt idx="25">
                  <c:v>1.6701396396605801</c:v>
                </c:pt>
                <c:pt idx="26">
                  <c:v>1.65431413279191</c:v>
                </c:pt>
                <c:pt idx="27">
                  <c:v>1.64478834615347</c:v>
                </c:pt>
                <c:pt idx="28">
                  <c:v>1.62891203508939</c:v>
                </c:pt>
                <c:pt idx="29">
                  <c:v>1.60833633595035</c:v>
                </c:pt>
                <c:pt idx="30">
                  <c:v>1.5829596403455299</c:v>
                </c:pt>
                <c:pt idx="31">
                  <c:v>1.5655083992238901</c:v>
                </c:pt>
                <c:pt idx="32">
                  <c:v>1.5559572104877499</c:v>
                </c:pt>
                <c:pt idx="33">
                  <c:v>1.51472960591655</c:v>
                </c:pt>
                <c:pt idx="34">
                  <c:v>1.5051784171803999</c:v>
                </c:pt>
                <c:pt idx="35">
                  <c:v>1.46702446643122</c:v>
                </c:pt>
                <c:pt idx="36">
                  <c:v>1.4574478755973601</c:v>
                </c:pt>
                <c:pt idx="37">
                  <c:v>1.4479220889589199</c:v>
                </c:pt>
                <c:pt idx="38">
                  <c:v>1.4128925962271399</c:v>
                </c:pt>
                <c:pt idx="39">
                  <c:v>1.41281638993403</c:v>
                </c:pt>
                <c:pt idx="40">
                  <c:v>1.40011534108277</c:v>
                </c:pt>
                <c:pt idx="41">
                  <c:v>1.3936378061686301</c:v>
                </c:pt>
                <c:pt idx="42">
                  <c:v>1.38083514892656</c:v>
                </c:pt>
                <c:pt idx="43">
                  <c:v>1.36810869797759</c:v>
                </c:pt>
                <c:pt idx="44">
                  <c:v>1.36168196725886</c:v>
                </c:pt>
                <c:pt idx="45">
                  <c:v>1.36158035886805</c:v>
                </c:pt>
                <c:pt idx="46">
                  <c:v>1.34882850582138</c:v>
                </c:pt>
                <c:pt idx="47">
                  <c:v>1.3361020548724201</c:v>
                </c:pt>
                <c:pt idx="48">
                  <c:v>1.3390995024013099</c:v>
                </c:pt>
                <c:pt idx="49">
                  <c:v>1.33579722969999</c:v>
                </c:pt>
                <c:pt idx="50">
                  <c:v>1.32618253571958</c:v>
                </c:pt>
                <c:pt idx="51">
                  <c:v>1.31654243964147</c:v>
                </c:pt>
                <c:pt idx="52">
                  <c:v>1.31636462495756</c:v>
                </c:pt>
                <c:pt idx="53">
                  <c:v>1.30672452887945</c:v>
                </c:pt>
                <c:pt idx="54">
                  <c:v>1.29705903070364</c:v>
                </c:pt>
                <c:pt idx="55">
                  <c:v>1.2840023524845401</c:v>
                </c:pt>
                <c:pt idx="56">
                  <c:v>1.27090757111889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30146752"/>
        <c:axId val="-1497357200"/>
      </c:scatterChart>
      <c:valAx>
        <c:axId val="-1330146752"/>
        <c:scaling>
          <c:orientation val="minMax"/>
          <c:max val="4.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Treatment</a:t>
                </a:r>
                <a:r>
                  <a:rPr lang="en-US" baseline="0"/>
                  <a:t> delay (hours)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97357200"/>
        <c:crosses val="autoZero"/>
        <c:crossBetween val="midCat"/>
      </c:valAx>
      <c:valAx>
        <c:axId val="-149735720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Odds ratio mRS &lt;≤1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30146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'Outcome age'!$K$32</c:f>
              <c:strCache>
                <c:ptCount val="1"/>
                <c:pt idx="0">
                  <c:v>point estimate,
 reference 71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1.8432995691400087E-2"/>
                  <c:y val="-0.23185877806940799"/>
                </c:manualLayout>
              </c:layout>
              <c:numFmt formatCode="General" sourceLinked="0"/>
              <c:spPr>
                <a:noFill/>
                <a:ln>
                  <a:solidFill>
                    <a:schemeClr val="accent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'Outcome age'!$B$72:$B$122</c:f>
              <c:numCache>
                <c:formatCode>General</c:formatCode>
                <c:ptCount val="51"/>
                <c:pt idx="0">
                  <c:v>40</c:v>
                </c:pt>
                <c:pt idx="1">
                  <c:v>41</c:v>
                </c:pt>
                <c:pt idx="2">
                  <c:v>42</c:v>
                </c:pt>
                <c:pt idx="3">
                  <c:v>43</c:v>
                </c:pt>
                <c:pt idx="4">
                  <c:v>44</c:v>
                </c:pt>
                <c:pt idx="5">
                  <c:v>45</c:v>
                </c:pt>
                <c:pt idx="6">
                  <c:v>46</c:v>
                </c:pt>
                <c:pt idx="7">
                  <c:v>47</c:v>
                </c:pt>
                <c:pt idx="8">
                  <c:v>48</c:v>
                </c:pt>
                <c:pt idx="9">
                  <c:v>49</c:v>
                </c:pt>
                <c:pt idx="10">
                  <c:v>50</c:v>
                </c:pt>
                <c:pt idx="11">
                  <c:v>51</c:v>
                </c:pt>
                <c:pt idx="12">
                  <c:v>52</c:v>
                </c:pt>
                <c:pt idx="13">
                  <c:v>53</c:v>
                </c:pt>
                <c:pt idx="14">
                  <c:v>54</c:v>
                </c:pt>
                <c:pt idx="15">
                  <c:v>55</c:v>
                </c:pt>
                <c:pt idx="16">
                  <c:v>56</c:v>
                </c:pt>
                <c:pt idx="17">
                  <c:v>57</c:v>
                </c:pt>
                <c:pt idx="18">
                  <c:v>58</c:v>
                </c:pt>
                <c:pt idx="19">
                  <c:v>59</c:v>
                </c:pt>
                <c:pt idx="20">
                  <c:v>60</c:v>
                </c:pt>
                <c:pt idx="21">
                  <c:v>61</c:v>
                </c:pt>
                <c:pt idx="22">
                  <c:v>62</c:v>
                </c:pt>
                <c:pt idx="23">
                  <c:v>63</c:v>
                </c:pt>
                <c:pt idx="24">
                  <c:v>64</c:v>
                </c:pt>
                <c:pt idx="25">
                  <c:v>65</c:v>
                </c:pt>
                <c:pt idx="26">
                  <c:v>66</c:v>
                </c:pt>
                <c:pt idx="27">
                  <c:v>67</c:v>
                </c:pt>
                <c:pt idx="28">
                  <c:v>68</c:v>
                </c:pt>
                <c:pt idx="29">
                  <c:v>69</c:v>
                </c:pt>
                <c:pt idx="30">
                  <c:v>70</c:v>
                </c:pt>
                <c:pt idx="31">
                  <c:v>71</c:v>
                </c:pt>
                <c:pt idx="32">
                  <c:v>72</c:v>
                </c:pt>
                <c:pt idx="33">
                  <c:v>73</c:v>
                </c:pt>
                <c:pt idx="34">
                  <c:v>74</c:v>
                </c:pt>
                <c:pt idx="35">
                  <c:v>75</c:v>
                </c:pt>
                <c:pt idx="36">
                  <c:v>76</c:v>
                </c:pt>
                <c:pt idx="37">
                  <c:v>77</c:v>
                </c:pt>
                <c:pt idx="38">
                  <c:v>78</c:v>
                </c:pt>
                <c:pt idx="39">
                  <c:v>79</c:v>
                </c:pt>
                <c:pt idx="40">
                  <c:v>80</c:v>
                </c:pt>
                <c:pt idx="41">
                  <c:v>81</c:v>
                </c:pt>
                <c:pt idx="42">
                  <c:v>82</c:v>
                </c:pt>
                <c:pt idx="43">
                  <c:v>83</c:v>
                </c:pt>
                <c:pt idx="44">
                  <c:v>84</c:v>
                </c:pt>
                <c:pt idx="45">
                  <c:v>85</c:v>
                </c:pt>
                <c:pt idx="46">
                  <c:v>86</c:v>
                </c:pt>
                <c:pt idx="47">
                  <c:v>87</c:v>
                </c:pt>
                <c:pt idx="48">
                  <c:v>88</c:v>
                </c:pt>
                <c:pt idx="49">
                  <c:v>89</c:v>
                </c:pt>
                <c:pt idx="50">
                  <c:v>90</c:v>
                </c:pt>
              </c:numCache>
            </c:numRef>
          </c:xVal>
          <c:yVal>
            <c:numRef>
              <c:f>'Outcome age'!$K$72:$K$122</c:f>
              <c:numCache>
                <c:formatCode>0.00</c:formatCode>
                <c:ptCount val="51"/>
                <c:pt idx="0">
                  <c:v>4.0218730963747999</c:v>
                </c:pt>
                <c:pt idx="1">
                  <c:v>3.885506240349073</c:v>
                </c:pt>
                <c:pt idx="2">
                  <c:v>3.7517318562382327</c:v>
                </c:pt>
                <c:pt idx="3">
                  <c:v>3.6205499440422835</c:v>
                </c:pt>
                <c:pt idx="4">
                  <c:v>3.4919605037612178</c:v>
                </c:pt>
                <c:pt idx="5">
                  <c:v>3.3659635353950406</c:v>
                </c:pt>
                <c:pt idx="6">
                  <c:v>3.2425590389437531</c:v>
                </c:pt>
                <c:pt idx="7">
                  <c:v>3.1217470144073518</c:v>
                </c:pt>
                <c:pt idx="8">
                  <c:v>3.0035274617858376</c:v>
                </c:pt>
                <c:pt idx="9">
                  <c:v>2.8879003810792132</c:v>
                </c:pt>
                <c:pt idx="10">
                  <c:v>2.7748657722874737</c:v>
                </c:pt>
                <c:pt idx="11">
                  <c:v>2.6644236354106243</c:v>
                </c:pt>
                <c:pt idx="12">
                  <c:v>2.5565739704486599</c:v>
                </c:pt>
                <c:pt idx="13">
                  <c:v>2.4513167774015852</c:v>
                </c:pt>
                <c:pt idx="14">
                  <c:v>2.3486520562693967</c:v>
                </c:pt>
                <c:pt idx="15">
                  <c:v>2.248579807052097</c:v>
                </c:pt>
                <c:pt idx="16">
                  <c:v>2.1511000297496823</c:v>
                </c:pt>
                <c:pt idx="17">
                  <c:v>2.0562127243621586</c:v>
                </c:pt>
                <c:pt idx="18">
                  <c:v>1.9639178908895205</c:v>
                </c:pt>
                <c:pt idx="19">
                  <c:v>1.8742155293317704</c:v>
                </c:pt>
                <c:pt idx="20">
                  <c:v>1.7871056396889069</c:v>
                </c:pt>
                <c:pt idx="21">
                  <c:v>1.7025882219609316</c:v>
                </c:pt>
                <c:pt idx="22">
                  <c:v>1.6206632761478461</c:v>
                </c:pt>
                <c:pt idx="23">
                  <c:v>1.5413308022496459</c:v>
                </c:pt>
                <c:pt idx="24">
                  <c:v>1.4645908002663337</c:v>
                </c:pt>
                <c:pt idx="25">
                  <c:v>1.3904432701979097</c:v>
                </c:pt>
                <c:pt idx="26">
                  <c:v>1.3188882120443708</c:v>
                </c:pt>
                <c:pt idx="27">
                  <c:v>1.2499256258057234</c:v>
                </c:pt>
                <c:pt idx="28">
                  <c:v>1.1835555114819625</c:v>
                </c:pt>
                <c:pt idx="29">
                  <c:v>1.1197778690730869</c:v>
                </c:pt>
                <c:pt idx="30">
                  <c:v>1.058592698579101</c:v>
                </c:pt>
                <c:pt idx="31">
                  <c:v>1</c:v>
                </c:pt>
                <c:pt idx="32">
                  <c:v>0.94399977333578888</c:v>
                </c:pt>
                <c:pt idx="33">
                  <c:v>0.89059201858646919</c:v>
                </c:pt>
                <c:pt idx="34">
                  <c:v>0.83977673575203138</c:v>
                </c:pt>
                <c:pt idx="35">
                  <c:v>0.79155392483248188</c:v>
                </c:pt>
                <c:pt idx="36">
                  <c:v>0.74592358582782048</c:v>
                </c:pt>
                <c:pt idx="37">
                  <c:v>0.70288571873804739</c:v>
                </c:pt>
                <c:pt idx="38">
                  <c:v>0.66244032356316096</c:v>
                </c:pt>
                <c:pt idx="39">
                  <c:v>0.62458740030316584</c:v>
                </c:pt>
                <c:pt idx="40">
                  <c:v>0.58932694895805426</c:v>
                </c:pt>
                <c:pt idx="41">
                  <c:v>0.55665896952783089</c:v>
                </c:pt>
                <c:pt idx="42">
                  <c:v>0.52658346201249417</c:v>
                </c:pt>
                <c:pt idx="43">
                  <c:v>0.49910042641204727</c:v>
                </c:pt>
                <c:pt idx="44">
                  <c:v>0.47420986272648546</c:v>
                </c:pt>
                <c:pt idx="45">
                  <c:v>0.45191177095581653</c:v>
                </c:pt>
                <c:pt idx="46">
                  <c:v>0.43220615110003113</c:v>
                </c:pt>
                <c:pt idx="47">
                  <c:v>0.41509300315913239</c:v>
                </c:pt>
                <c:pt idx="48">
                  <c:v>0.40057232713312191</c:v>
                </c:pt>
                <c:pt idx="49">
                  <c:v>0.38864412302199958</c:v>
                </c:pt>
                <c:pt idx="50">
                  <c:v>0.37930839082576395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'Outcome age'!$L$32</c:f>
              <c:strCache>
                <c:ptCount val="1"/>
                <c:pt idx="0">
                  <c:v>95% lower,
 reference 71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38036380984835577"/>
                  <c:y val="-2.2576188393117529E-2"/>
                </c:manualLayout>
              </c:layout>
              <c:numFmt formatCode="General" sourceLinked="0"/>
              <c:spPr>
                <a:noFill/>
                <a:ln>
                  <a:solidFill>
                    <a:schemeClr val="accent2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'Outcome age'!$B$72:$B$122</c:f>
              <c:numCache>
                <c:formatCode>General</c:formatCode>
                <c:ptCount val="51"/>
                <c:pt idx="0">
                  <c:v>40</c:v>
                </c:pt>
                <c:pt idx="1">
                  <c:v>41</c:v>
                </c:pt>
                <c:pt idx="2">
                  <c:v>42</c:v>
                </c:pt>
                <c:pt idx="3">
                  <c:v>43</c:v>
                </c:pt>
                <c:pt idx="4">
                  <c:v>44</c:v>
                </c:pt>
                <c:pt idx="5">
                  <c:v>45</c:v>
                </c:pt>
                <c:pt idx="6">
                  <c:v>46</c:v>
                </c:pt>
                <c:pt idx="7">
                  <c:v>47</c:v>
                </c:pt>
                <c:pt idx="8">
                  <c:v>48</c:v>
                </c:pt>
                <c:pt idx="9">
                  <c:v>49</c:v>
                </c:pt>
                <c:pt idx="10">
                  <c:v>50</c:v>
                </c:pt>
                <c:pt idx="11">
                  <c:v>51</c:v>
                </c:pt>
                <c:pt idx="12">
                  <c:v>52</c:v>
                </c:pt>
                <c:pt idx="13">
                  <c:v>53</c:v>
                </c:pt>
                <c:pt idx="14">
                  <c:v>54</c:v>
                </c:pt>
                <c:pt idx="15">
                  <c:v>55</c:v>
                </c:pt>
                <c:pt idx="16">
                  <c:v>56</c:v>
                </c:pt>
                <c:pt idx="17">
                  <c:v>57</c:v>
                </c:pt>
                <c:pt idx="18">
                  <c:v>58</c:v>
                </c:pt>
                <c:pt idx="19">
                  <c:v>59</c:v>
                </c:pt>
                <c:pt idx="20">
                  <c:v>60</c:v>
                </c:pt>
                <c:pt idx="21">
                  <c:v>61</c:v>
                </c:pt>
                <c:pt idx="22">
                  <c:v>62</c:v>
                </c:pt>
                <c:pt idx="23">
                  <c:v>63</c:v>
                </c:pt>
                <c:pt idx="24">
                  <c:v>64</c:v>
                </c:pt>
                <c:pt idx="25">
                  <c:v>65</c:v>
                </c:pt>
                <c:pt idx="26">
                  <c:v>66</c:v>
                </c:pt>
                <c:pt idx="27">
                  <c:v>67</c:v>
                </c:pt>
                <c:pt idx="28">
                  <c:v>68</c:v>
                </c:pt>
                <c:pt idx="29">
                  <c:v>69</c:v>
                </c:pt>
                <c:pt idx="30">
                  <c:v>70</c:v>
                </c:pt>
                <c:pt idx="31">
                  <c:v>71</c:v>
                </c:pt>
                <c:pt idx="32">
                  <c:v>72</c:v>
                </c:pt>
                <c:pt idx="33">
                  <c:v>73</c:v>
                </c:pt>
                <c:pt idx="34">
                  <c:v>74</c:v>
                </c:pt>
                <c:pt idx="35">
                  <c:v>75</c:v>
                </c:pt>
                <c:pt idx="36">
                  <c:v>76</c:v>
                </c:pt>
                <c:pt idx="37">
                  <c:v>77</c:v>
                </c:pt>
                <c:pt idx="38">
                  <c:v>78</c:v>
                </c:pt>
                <c:pt idx="39">
                  <c:v>79</c:v>
                </c:pt>
                <c:pt idx="40">
                  <c:v>80</c:v>
                </c:pt>
                <c:pt idx="41">
                  <c:v>81</c:v>
                </c:pt>
                <c:pt idx="42">
                  <c:v>82</c:v>
                </c:pt>
                <c:pt idx="43">
                  <c:v>83</c:v>
                </c:pt>
                <c:pt idx="44">
                  <c:v>84</c:v>
                </c:pt>
                <c:pt idx="45">
                  <c:v>85</c:v>
                </c:pt>
                <c:pt idx="46">
                  <c:v>86</c:v>
                </c:pt>
                <c:pt idx="47">
                  <c:v>87</c:v>
                </c:pt>
                <c:pt idx="48">
                  <c:v>88</c:v>
                </c:pt>
                <c:pt idx="49">
                  <c:v>89</c:v>
                </c:pt>
                <c:pt idx="50">
                  <c:v>90</c:v>
                </c:pt>
              </c:numCache>
            </c:numRef>
          </c:xVal>
          <c:yVal>
            <c:numRef>
              <c:f>'Outcome age'!$L$72:$L$122</c:f>
              <c:numCache>
                <c:formatCode>0.00</c:formatCode>
                <c:ptCount val="51"/>
                <c:pt idx="0">
                  <c:v>2.4328466564491409</c:v>
                </c:pt>
                <c:pt idx="1">
                  <c:v>2.3866257965636848</c:v>
                </c:pt>
                <c:pt idx="2">
                  <c:v>2.3404049366782282</c:v>
                </c:pt>
                <c:pt idx="3">
                  <c:v>2.2941840767927726</c:v>
                </c:pt>
                <c:pt idx="4">
                  <c:v>2.247963216907316</c:v>
                </c:pt>
                <c:pt idx="5">
                  <c:v>2.2017423570218599</c:v>
                </c:pt>
                <c:pt idx="6">
                  <c:v>2.1555214971364038</c:v>
                </c:pt>
                <c:pt idx="7">
                  <c:v>2.1093006372509477</c:v>
                </c:pt>
                <c:pt idx="8">
                  <c:v>2.0630797773654916</c:v>
                </c:pt>
                <c:pt idx="9">
                  <c:v>2.0168589174800355</c:v>
                </c:pt>
                <c:pt idx="10">
                  <c:v>1.9706380575945794</c:v>
                </c:pt>
                <c:pt idx="11">
                  <c:v>1.9244171977091231</c:v>
                </c:pt>
                <c:pt idx="12">
                  <c:v>1.8781963378236668</c:v>
                </c:pt>
                <c:pt idx="13">
                  <c:v>1.8319754779382109</c:v>
                </c:pt>
                <c:pt idx="14">
                  <c:v>1.7857546180527546</c:v>
                </c:pt>
                <c:pt idx="15">
                  <c:v>1.7395337581672985</c:v>
                </c:pt>
                <c:pt idx="16">
                  <c:v>1.6933128982818424</c:v>
                </c:pt>
                <c:pt idx="17">
                  <c:v>1.6470920383963863</c:v>
                </c:pt>
                <c:pt idx="18">
                  <c:v>1.60087117851093</c:v>
                </c:pt>
                <c:pt idx="19">
                  <c:v>1.5546503186254741</c:v>
                </c:pt>
                <c:pt idx="20">
                  <c:v>1.5084294587400178</c:v>
                </c:pt>
                <c:pt idx="21">
                  <c:v>1.4622085988545614</c:v>
                </c:pt>
                <c:pt idx="22">
                  <c:v>1.4159877389691053</c:v>
                </c:pt>
                <c:pt idx="23">
                  <c:v>1.3697668790836495</c:v>
                </c:pt>
                <c:pt idx="24">
                  <c:v>1.3235460191981931</c:v>
                </c:pt>
                <c:pt idx="25">
                  <c:v>1.2773251593127368</c:v>
                </c:pt>
                <c:pt idx="26">
                  <c:v>1.2311042994272809</c:v>
                </c:pt>
                <c:pt idx="27">
                  <c:v>1.1848834395418246</c:v>
                </c:pt>
                <c:pt idx="28">
                  <c:v>1.1386625796563685</c:v>
                </c:pt>
                <c:pt idx="29">
                  <c:v>1.0924417197709122</c:v>
                </c:pt>
                <c:pt idx="30">
                  <c:v>1.0462208598854559</c:v>
                </c:pt>
                <c:pt idx="31">
                  <c:v>1</c:v>
                </c:pt>
                <c:pt idx="32">
                  <c:v>0.94399977333578888</c:v>
                </c:pt>
                <c:pt idx="33">
                  <c:v>0.89059201858646919</c:v>
                </c:pt>
                <c:pt idx="34">
                  <c:v>0.83977673575203138</c:v>
                </c:pt>
                <c:pt idx="35">
                  <c:v>0.79155392483248188</c:v>
                </c:pt>
                <c:pt idx="36">
                  <c:v>0.74592358582782048</c:v>
                </c:pt>
                <c:pt idx="37">
                  <c:v>0.70288571873804739</c:v>
                </c:pt>
                <c:pt idx="38">
                  <c:v>0.66244032356316096</c:v>
                </c:pt>
                <c:pt idx="39">
                  <c:v>0.62458740030316584</c:v>
                </c:pt>
                <c:pt idx="40">
                  <c:v>0.58401226103089476</c:v>
                </c:pt>
                <c:pt idx="41">
                  <c:v>0.53779140114543877</c:v>
                </c:pt>
                <c:pt idx="42">
                  <c:v>0.49157054125998217</c:v>
                </c:pt>
                <c:pt idx="43">
                  <c:v>0.4453496813745263</c:v>
                </c:pt>
                <c:pt idx="44">
                  <c:v>0.3991288214890697</c:v>
                </c:pt>
                <c:pt idx="45">
                  <c:v>0.35290796160361376</c:v>
                </c:pt>
                <c:pt idx="46">
                  <c:v>0.30668710171815788</c:v>
                </c:pt>
                <c:pt idx="47">
                  <c:v>0.26046624183270123</c:v>
                </c:pt>
                <c:pt idx="48">
                  <c:v>0.21424538194724535</c:v>
                </c:pt>
                <c:pt idx="49">
                  <c:v>0.16802452206178944</c:v>
                </c:pt>
                <c:pt idx="50">
                  <c:v>0.12180366217633282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'Outcome age'!$M$32</c:f>
              <c:strCache>
                <c:ptCount val="1"/>
                <c:pt idx="0">
                  <c:v>95% upper,
 reference 71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exp"/>
            <c:dispRSqr val="1"/>
            <c:dispEq val="1"/>
            <c:trendlineLbl>
              <c:layout>
                <c:manualLayout>
                  <c:x val="-0.33091858767402166"/>
                  <c:y val="-0.46702063283756196"/>
                </c:manualLayout>
              </c:layout>
              <c:numFmt formatCode="General" sourceLinked="0"/>
              <c:spPr>
                <a:noFill/>
                <a:ln>
                  <a:solidFill>
                    <a:schemeClr val="accent3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'Outcome age'!$B$72:$B$122</c:f>
              <c:numCache>
                <c:formatCode>General</c:formatCode>
                <c:ptCount val="51"/>
                <c:pt idx="0">
                  <c:v>40</c:v>
                </c:pt>
                <c:pt idx="1">
                  <c:v>41</c:v>
                </c:pt>
                <c:pt idx="2">
                  <c:v>42</c:v>
                </c:pt>
                <c:pt idx="3">
                  <c:v>43</c:v>
                </c:pt>
                <c:pt idx="4">
                  <c:v>44</c:v>
                </c:pt>
                <c:pt idx="5">
                  <c:v>45</c:v>
                </c:pt>
                <c:pt idx="6">
                  <c:v>46</c:v>
                </c:pt>
                <c:pt idx="7">
                  <c:v>47</c:v>
                </c:pt>
                <c:pt idx="8">
                  <c:v>48</c:v>
                </c:pt>
                <c:pt idx="9">
                  <c:v>49</c:v>
                </c:pt>
                <c:pt idx="10">
                  <c:v>50</c:v>
                </c:pt>
                <c:pt idx="11">
                  <c:v>51</c:v>
                </c:pt>
                <c:pt idx="12">
                  <c:v>52</c:v>
                </c:pt>
                <c:pt idx="13">
                  <c:v>53</c:v>
                </c:pt>
                <c:pt idx="14">
                  <c:v>54</c:v>
                </c:pt>
                <c:pt idx="15">
                  <c:v>55</c:v>
                </c:pt>
                <c:pt idx="16">
                  <c:v>56</c:v>
                </c:pt>
                <c:pt idx="17">
                  <c:v>57</c:v>
                </c:pt>
                <c:pt idx="18">
                  <c:v>58</c:v>
                </c:pt>
                <c:pt idx="19">
                  <c:v>59</c:v>
                </c:pt>
                <c:pt idx="20">
                  <c:v>60</c:v>
                </c:pt>
                <c:pt idx="21">
                  <c:v>61</c:v>
                </c:pt>
                <c:pt idx="22">
                  <c:v>62</c:v>
                </c:pt>
                <c:pt idx="23">
                  <c:v>63</c:v>
                </c:pt>
                <c:pt idx="24">
                  <c:v>64</c:v>
                </c:pt>
                <c:pt idx="25">
                  <c:v>65</c:v>
                </c:pt>
                <c:pt idx="26">
                  <c:v>66</c:v>
                </c:pt>
                <c:pt idx="27">
                  <c:v>67</c:v>
                </c:pt>
                <c:pt idx="28">
                  <c:v>68</c:v>
                </c:pt>
                <c:pt idx="29">
                  <c:v>69</c:v>
                </c:pt>
                <c:pt idx="30">
                  <c:v>70</c:v>
                </c:pt>
                <c:pt idx="31">
                  <c:v>71</c:v>
                </c:pt>
                <c:pt idx="32">
                  <c:v>72</c:v>
                </c:pt>
                <c:pt idx="33">
                  <c:v>73</c:v>
                </c:pt>
                <c:pt idx="34">
                  <c:v>74</c:v>
                </c:pt>
                <c:pt idx="35">
                  <c:v>75</c:v>
                </c:pt>
                <c:pt idx="36">
                  <c:v>76</c:v>
                </c:pt>
                <c:pt idx="37">
                  <c:v>77</c:v>
                </c:pt>
                <c:pt idx="38">
                  <c:v>78</c:v>
                </c:pt>
                <c:pt idx="39">
                  <c:v>79</c:v>
                </c:pt>
                <c:pt idx="40">
                  <c:v>80</c:v>
                </c:pt>
                <c:pt idx="41">
                  <c:v>81</c:v>
                </c:pt>
                <c:pt idx="42">
                  <c:v>82</c:v>
                </c:pt>
                <c:pt idx="43">
                  <c:v>83</c:v>
                </c:pt>
                <c:pt idx="44">
                  <c:v>84</c:v>
                </c:pt>
                <c:pt idx="45">
                  <c:v>85</c:v>
                </c:pt>
                <c:pt idx="46">
                  <c:v>86</c:v>
                </c:pt>
                <c:pt idx="47">
                  <c:v>87</c:v>
                </c:pt>
                <c:pt idx="48">
                  <c:v>88</c:v>
                </c:pt>
                <c:pt idx="49">
                  <c:v>89</c:v>
                </c:pt>
                <c:pt idx="50">
                  <c:v>90</c:v>
                </c:pt>
              </c:numCache>
            </c:numRef>
          </c:xVal>
          <c:yVal>
            <c:numRef>
              <c:f>'Outcome age'!$M$72:$M$122</c:f>
              <c:numCache>
                <c:formatCode>0.00</c:formatCode>
                <c:ptCount val="51"/>
                <c:pt idx="0">
                  <c:v>5.1818907535025236</c:v>
                </c:pt>
                <c:pt idx="1">
                  <c:v>4.9140576214154095</c:v>
                </c:pt>
                <c:pt idx="2">
                  <c:v>4.6600678121723913</c:v>
                </c:pt>
                <c:pt idx="3">
                  <c:v>4.4192058146420772</c:v>
                </c:pt>
                <c:pt idx="4">
                  <c:v>4.1907930998674248</c:v>
                </c:pt>
                <c:pt idx="5">
                  <c:v>3.9741862095913425</c:v>
                </c:pt>
                <c:pt idx="6">
                  <c:v>3.7687749435794506</c:v>
                </c:pt>
                <c:pt idx="7">
                  <c:v>3.5739806406335508</c:v>
                </c:pt>
                <c:pt idx="8">
                  <c:v>3.3892545484532794</c:v>
                </c:pt>
                <c:pt idx="9">
                  <c:v>3.2140762777536938</c:v>
                </c:pt>
                <c:pt idx="10">
                  <c:v>3.0479523362839096</c:v>
                </c:pt>
                <c:pt idx="11">
                  <c:v>2.8904147386169989</c:v>
                </c:pt>
                <c:pt idx="12">
                  <c:v>2.7410196877948079</c:v>
                </c:pt>
                <c:pt idx="13">
                  <c:v>2.5993463251137596</c:v>
                </c:pt>
                <c:pt idx="14">
                  <c:v>2.4649955445297063</c:v>
                </c:pt>
                <c:pt idx="15">
                  <c:v>2.3375888683418822</c:v>
                </c:pt>
                <c:pt idx="16">
                  <c:v>2.2167673809886792</c:v>
                </c:pt>
                <c:pt idx="17">
                  <c:v>2.1021907179516512</c:v>
                </c:pt>
                <c:pt idx="18">
                  <c:v>1.9935361069193966</c:v>
                </c:pt>
                <c:pt idx="19">
                  <c:v>1.8904974585102075</c:v>
                </c:pt>
                <c:pt idx="20">
                  <c:v>1.7927845039919585</c:v>
                </c:pt>
                <c:pt idx="21">
                  <c:v>1.7025882219609316</c:v>
                </c:pt>
                <c:pt idx="22">
                  <c:v>1.6206632761478461</c:v>
                </c:pt>
                <c:pt idx="23">
                  <c:v>1.5413308022496459</c:v>
                </c:pt>
                <c:pt idx="24">
                  <c:v>1.4645908002663337</c:v>
                </c:pt>
                <c:pt idx="25">
                  <c:v>1.3904432701979097</c:v>
                </c:pt>
                <c:pt idx="26">
                  <c:v>1.3188882120443708</c:v>
                </c:pt>
                <c:pt idx="27">
                  <c:v>1.2499256258057234</c:v>
                </c:pt>
                <c:pt idx="28">
                  <c:v>1.1835555114819625</c:v>
                </c:pt>
                <c:pt idx="29">
                  <c:v>1.1197778690730869</c:v>
                </c:pt>
                <c:pt idx="30">
                  <c:v>1.058592698579101</c:v>
                </c:pt>
                <c:pt idx="31">
                  <c:v>1</c:v>
                </c:pt>
                <c:pt idx="32">
                  <c:v>0.94831362820490128</c:v>
                </c:pt>
                <c:pt idx="33">
                  <c:v>0.8992987374391439</c:v>
                </c:pt>
                <c:pt idx="34">
                  <c:v>0.85281724854100127</c:v>
                </c:pt>
                <c:pt idx="35">
                  <c:v>0.80873821915963806</c:v>
                </c:pt>
                <c:pt idx="36">
                  <c:v>0.76693747487924702</c:v>
                </c:pt>
                <c:pt idx="37">
                  <c:v>0.72729725940904399</c:v>
                </c:pt>
                <c:pt idx="38">
                  <c:v>0.68970590285367184</c:v>
                </c:pt>
                <c:pt idx="39">
                  <c:v>0.65405750712950272</c:v>
                </c:pt>
                <c:pt idx="40">
                  <c:v>0.62025164764063179</c:v>
                </c:pt>
                <c:pt idx="41">
                  <c:v>0.58819309037415557</c:v>
                </c:pt>
                <c:pt idx="42">
                  <c:v>0.55779152361776885</c:v>
                </c:pt>
                <c:pt idx="43">
                  <c:v>0.52896130354390569</c:v>
                </c:pt>
                <c:pt idx="44">
                  <c:v>0.50162121294371542</c:v>
                </c:pt>
                <c:pt idx="45">
                  <c:v>0.47569423243119813</c:v>
                </c:pt>
                <c:pt idx="46">
                  <c:v>0.45110732347297511</c:v>
                </c:pt>
                <c:pt idx="47">
                  <c:v>0.42779122263245906</c:v>
                </c:pt>
                <c:pt idx="48">
                  <c:v>0.40568024644879791</c:v>
                </c:pt>
                <c:pt idx="49">
                  <c:v>0.38864412302199958</c:v>
                </c:pt>
                <c:pt idx="50">
                  <c:v>0.37930839082576395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497352304"/>
        <c:axId val="-1497351216"/>
      </c:scatterChart>
      <c:valAx>
        <c:axId val="-1497352304"/>
        <c:scaling>
          <c:orientation val="minMax"/>
          <c:min val="35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age (years)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97351216"/>
        <c:crosses val="autoZero"/>
        <c:crossBetween val="midCat"/>
      </c:valAx>
      <c:valAx>
        <c:axId val="-14973512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Odds ratio mRs ≤2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973523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5.6967121158952583E-2"/>
          <c:y val="0.84837853601633129"/>
          <c:w val="0.89999986290759282"/>
          <c:h val="0.128473315835520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'OR IVT effect age'!$D$10:$E$10</c:f>
              <c:strCache>
                <c:ptCount val="1"/>
                <c:pt idx="0">
                  <c:v>Point estimate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6.2348222960535639E-2"/>
                  <c:y val="0.16805783799496696"/>
                </c:manualLayout>
              </c:layout>
              <c:numFmt formatCode="General" sourceLinked="0"/>
              <c:spPr>
                <a:noFill/>
                <a:ln>
                  <a:solidFill>
                    <a:schemeClr val="accent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'OR IVT effect age'!$D$12:$D$114</c:f>
              <c:numCache>
                <c:formatCode>General</c:formatCode>
                <c:ptCount val="103"/>
                <c:pt idx="0">
                  <c:v>52.208599999999997</c:v>
                </c:pt>
                <c:pt idx="1">
                  <c:v>54.084899999999998</c:v>
                </c:pt>
                <c:pt idx="2">
                  <c:v>55.961199999999998</c:v>
                </c:pt>
                <c:pt idx="3">
                  <c:v>57.837600000000002</c:v>
                </c:pt>
                <c:pt idx="4">
                  <c:v>59.713999999999999</c:v>
                </c:pt>
                <c:pt idx="5">
                  <c:v>61.590299999999999</c:v>
                </c:pt>
                <c:pt idx="6">
                  <c:v>63.466700000000003</c:v>
                </c:pt>
                <c:pt idx="7">
                  <c:v>65.343100000000007</c:v>
                </c:pt>
                <c:pt idx="8">
                  <c:v>67.219499999999996</c:v>
                </c:pt>
                <c:pt idx="9">
                  <c:v>69.095799999999997</c:v>
                </c:pt>
                <c:pt idx="10">
                  <c:v>70.972200000000001</c:v>
                </c:pt>
                <c:pt idx="11">
                  <c:v>72.848600000000005</c:v>
                </c:pt>
                <c:pt idx="12">
                  <c:v>74.724999999999994</c:v>
                </c:pt>
                <c:pt idx="13">
                  <c:v>76.601299999999995</c:v>
                </c:pt>
                <c:pt idx="14">
                  <c:v>78.477800000000002</c:v>
                </c:pt>
                <c:pt idx="15">
                  <c:v>80.354200000000006</c:v>
                </c:pt>
                <c:pt idx="16">
                  <c:v>82.230599999999995</c:v>
                </c:pt>
                <c:pt idx="17">
                  <c:v>84.106899999999996</c:v>
                </c:pt>
                <c:pt idx="18">
                  <c:v>85.983400000000003</c:v>
                </c:pt>
                <c:pt idx="19">
                  <c:v>87.859800000000007</c:v>
                </c:pt>
                <c:pt idx="20">
                  <c:v>89.4803</c:v>
                </c:pt>
              </c:numCache>
            </c:numRef>
          </c:xVal>
          <c:yVal>
            <c:numRef>
              <c:f>'OR IVT effect age'!$E$12:$E$114</c:f>
              <c:numCache>
                <c:formatCode>General</c:formatCode>
                <c:ptCount val="103"/>
                <c:pt idx="0">
                  <c:v>1.2911999999999999</c:v>
                </c:pt>
                <c:pt idx="1">
                  <c:v>1.2844</c:v>
                </c:pt>
                <c:pt idx="2">
                  <c:v>1.2770999999999999</c:v>
                </c:pt>
                <c:pt idx="3">
                  <c:v>1.2709999999999999</c:v>
                </c:pt>
                <c:pt idx="4">
                  <c:v>1.2642</c:v>
                </c:pt>
                <c:pt idx="5">
                  <c:v>1.2568999999999999</c:v>
                </c:pt>
                <c:pt idx="6">
                  <c:v>1.2503</c:v>
                </c:pt>
                <c:pt idx="7">
                  <c:v>1.2442</c:v>
                </c:pt>
                <c:pt idx="8">
                  <c:v>1.2377</c:v>
                </c:pt>
                <c:pt idx="9">
                  <c:v>1.2305999999999999</c:v>
                </c:pt>
                <c:pt idx="10">
                  <c:v>1.2244999999999999</c:v>
                </c:pt>
                <c:pt idx="11">
                  <c:v>1.2181999999999999</c:v>
                </c:pt>
                <c:pt idx="12">
                  <c:v>1.2114</c:v>
                </c:pt>
                <c:pt idx="13">
                  <c:v>1.2048000000000001</c:v>
                </c:pt>
                <c:pt idx="14">
                  <c:v>1.1990000000000001</c:v>
                </c:pt>
                <c:pt idx="15">
                  <c:v>1.1927000000000001</c:v>
                </c:pt>
                <c:pt idx="16">
                  <c:v>1.1862999999999999</c:v>
                </c:pt>
                <c:pt idx="17">
                  <c:v>1.1795</c:v>
                </c:pt>
                <c:pt idx="18">
                  <c:v>1.1737</c:v>
                </c:pt>
                <c:pt idx="19">
                  <c:v>1.1678999999999999</c:v>
                </c:pt>
                <c:pt idx="20">
                  <c:v>1.1619999999999999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497347952"/>
        <c:axId val="-1497347408"/>
      </c:scatterChart>
      <c:valAx>
        <c:axId val="-1497347952"/>
        <c:scaling>
          <c:orientation val="minMax"/>
          <c:max val="90"/>
          <c:min val="5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Age</a:t>
                </a:r>
                <a:r>
                  <a:rPr lang="en-US" baseline="0"/>
                  <a:t> (years)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97347408"/>
        <c:crosses val="autoZero"/>
        <c:crossBetween val="midCat"/>
      </c:valAx>
      <c:valAx>
        <c:axId val="-1497347408"/>
        <c:scaling>
          <c:orientation val="minMax"/>
          <c:max val="1.4"/>
          <c:min val="0.8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Odds ratio mRS &lt;≤1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97347952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485055</xdr:colOff>
      <xdr:row>52</xdr:row>
      <xdr:rowOff>12328</xdr:rowOff>
    </xdr:from>
    <xdr:to>
      <xdr:col>29</xdr:col>
      <xdr:colOff>541885</xdr:colOff>
      <xdr:row>66</xdr:row>
      <xdr:rowOff>88528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588308</xdr:colOff>
      <xdr:row>11</xdr:row>
      <xdr:rowOff>169208</xdr:rowOff>
    </xdr:from>
    <xdr:to>
      <xdr:col>24</xdr:col>
      <xdr:colOff>235324</xdr:colOff>
      <xdr:row>26</xdr:row>
      <xdr:rowOff>54908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105337</xdr:colOff>
      <xdr:row>13</xdr:row>
      <xdr:rowOff>162205</xdr:rowOff>
    </xdr:from>
    <xdr:to>
      <xdr:col>13</xdr:col>
      <xdr:colOff>435570</xdr:colOff>
      <xdr:row>28</xdr:row>
      <xdr:rowOff>47905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293033</xdr:colOff>
      <xdr:row>16</xdr:row>
      <xdr:rowOff>201865</xdr:rowOff>
    </xdr:from>
    <xdr:to>
      <xdr:col>11</xdr:col>
      <xdr:colOff>511467</xdr:colOff>
      <xdr:row>31</xdr:row>
      <xdr:rowOff>73958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2"/>
  <sheetViews>
    <sheetView showGridLines="0" workbookViewId="0">
      <selection activeCell="J11" sqref="J11"/>
    </sheetView>
  </sheetViews>
  <sheetFormatPr defaultRowHeight="15" x14ac:dyDescent="0.25"/>
  <sheetData>
    <row r="1" spans="1:16" ht="25.5" customHeight="1" x14ac:dyDescent="0.3">
      <c r="A1" s="105" t="s">
        <v>387</v>
      </c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</row>
    <row r="2" spans="1:16" x14ac:dyDescent="0.25">
      <c r="A2" t="s">
        <v>264</v>
      </c>
    </row>
    <row r="3" spans="1:16" x14ac:dyDescent="0.25">
      <c r="A3" s="43">
        <v>2019</v>
      </c>
    </row>
    <row r="5" spans="1:16" x14ac:dyDescent="0.25">
      <c r="A5" s="1" t="s">
        <v>265</v>
      </c>
    </row>
    <row r="7" spans="1:16" x14ac:dyDescent="0.25">
      <c r="A7" s="20" t="str">
        <f>'pCMB age'!A1</f>
        <v>1. Estimation of age-specific prevalence of &gt;10 CMBs</v>
      </c>
    </row>
    <row r="8" spans="1:16" x14ac:dyDescent="0.25">
      <c r="A8" s="20" t="str">
        <f>'outcome IVT delay'!A1</f>
        <v>2. Modeling time-dependent treatment effect of IVT</v>
      </c>
    </row>
    <row r="9" spans="1:16" x14ac:dyDescent="0.25">
      <c r="A9" s="20" t="str">
        <f>'Utility weights'!A1</f>
        <v>3. Mean utility values per mRS category</v>
      </c>
    </row>
    <row r="10" spans="1:16" x14ac:dyDescent="0.25">
      <c r="A10" s="96" t="str">
        <f>'Outcome age'!A1</f>
        <v>4. Modeling the effect of age on outcome</v>
      </c>
    </row>
    <row r="11" spans="1:16" x14ac:dyDescent="0.25">
      <c r="A11" s="20" t="str">
        <f>'outcome sICH'!A1</f>
        <v>5. Modeling effect of sICH on outcome</v>
      </c>
    </row>
    <row r="12" spans="1:16" x14ac:dyDescent="0.25">
      <c r="A12" s="20" t="str">
        <f>'OR IVT effect age'!A1</f>
        <v>6. Modeling age-dependent treatment effect of IVT</v>
      </c>
    </row>
  </sheetData>
  <mergeCells count="1">
    <mergeCell ref="A1:P1"/>
  </mergeCells>
  <hyperlinks>
    <hyperlink ref="A8" location="'tPA OR fx delay2'!A1" display="2. Modeling time-dependent treatment effect of IVT"/>
    <hyperlink ref="A9" location="'Utility weights'!A1" display="3. Mean utility values per mRS category"/>
    <hyperlink ref="A10" location="'Outcome age'!A1" display="4. Modeling age-dependent functional outcome"/>
    <hyperlink ref="A11" location="'outcome sICH'!A1" display="5. Modeling effect of sICH on outcome"/>
    <hyperlink ref="A12" location="'Outcome age'!A1" display="4. Modeling age-dependent functional outcome"/>
    <hyperlink ref="A7" location="'Outcome age'!A1" display="4. Modeling age-dependent functional outcome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63"/>
  <sheetViews>
    <sheetView zoomScale="85" zoomScaleNormal="85" workbookViewId="0">
      <selection activeCell="A13" sqref="A13"/>
    </sheetView>
  </sheetViews>
  <sheetFormatPr defaultRowHeight="15" x14ac:dyDescent="0.25"/>
  <cols>
    <col min="1" max="1" width="32.7109375" customWidth="1"/>
    <col min="2" max="2" width="9.5703125" bestFit="1" customWidth="1"/>
    <col min="3" max="3" width="15.42578125" bestFit="1" customWidth="1"/>
    <col min="4" max="4" width="14.28515625" customWidth="1"/>
    <col min="5" max="5" width="12.28515625" bestFit="1" customWidth="1"/>
    <col min="6" max="6" width="8.140625" customWidth="1"/>
    <col min="7" max="7" width="10.140625" bestFit="1" customWidth="1"/>
    <col min="8" max="8" width="10.28515625" bestFit="1" customWidth="1"/>
    <col min="10" max="10" width="12.42578125" customWidth="1"/>
    <col min="12" max="12" width="17.7109375" customWidth="1"/>
    <col min="14" max="14" width="10" customWidth="1"/>
    <col min="15" max="15" width="10.140625" customWidth="1"/>
    <col min="16" max="16" width="15.140625" customWidth="1"/>
    <col min="18" max="18" width="14" customWidth="1"/>
    <col min="19" max="19" width="12.28515625" customWidth="1"/>
    <col min="20" max="20" width="11.28515625" bestFit="1" customWidth="1"/>
    <col min="21" max="21" width="12.42578125" bestFit="1" customWidth="1"/>
    <col min="22" max="22" width="12.7109375" customWidth="1"/>
    <col min="23" max="23" width="10.7109375" customWidth="1"/>
    <col min="26" max="26" width="12.28515625" bestFit="1" customWidth="1"/>
    <col min="27" max="27" width="11.28515625" bestFit="1" customWidth="1"/>
    <col min="28" max="28" width="10.28515625" bestFit="1" customWidth="1"/>
  </cols>
  <sheetData>
    <row r="1" spans="1:10" ht="18.75" x14ac:dyDescent="0.3">
      <c r="A1" s="22" t="s">
        <v>266</v>
      </c>
    </row>
    <row r="3" spans="1:10" x14ac:dyDescent="0.25">
      <c r="A3" s="23" t="s">
        <v>231</v>
      </c>
    </row>
    <row r="4" spans="1:10" x14ac:dyDescent="0.25">
      <c r="A4" s="1" t="s">
        <v>232</v>
      </c>
      <c r="B4" s="11" t="s">
        <v>350</v>
      </c>
    </row>
    <row r="5" spans="1:10" x14ac:dyDescent="0.25">
      <c r="A5" s="1" t="s">
        <v>233</v>
      </c>
      <c r="B5" s="11" t="s">
        <v>351</v>
      </c>
    </row>
    <row r="6" spans="1:10" x14ac:dyDescent="0.25">
      <c r="A6" s="1"/>
    </row>
    <row r="7" spans="1:10" x14ac:dyDescent="0.25">
      <c r="A7" s="1"/>
    </row>
    <row r="8" spans="1:10" x14ac:dyDescent="0.25">
      <c r="A8" s="1" t="s">
        <v>272</v>
      </c>
    </row>
    <row r="9" spans="1:10" x14ac:dyDescent="0.25">
      <c r="A9" s="1" t="s">
        <v>383</v>
      </c>
    </row>
    <row r="10" spans="1:10" x14ac:dyDescent="0.25">
      <c r="A10" t="s">
        <v>234</v>
      </c>
      <c r="B10" s="12">
        <v>0.26419999999999999</v>
      </c>
      <c r="D10" t="s">
        <v>243</v>
      </c>
      <c r="J10" s="12">
        <f>B12/B10</f>
        <v>6.4723694171082521E-2</v>
      </c>
    </row>
    <row r="11" spans="1:10" x14ac:dyDescent="0.25">
      <c r="A11" t="s">
        <v>235</v>
      </c>
      <c r="B11" s="12">
        <v>0.1255</v>
      </c>
      <c r="D11" t="s">
        <v>242</v>
      </c>
      <c r="J11" s="12">
        <f>B12/B11</f>
        <v>0.13625498007968129</v>
      </c>
    </row>
    <row r="12" spans="1:10" x14ac:dyDescent="0.25">
      <c r="A12" t="s">
        <v>236</v>
      </c>
      <c r="B12" s="12">
        <v>1.7100000000000001E-2</v>
      </c>
    </row>
    <row r="14" spans="1:10" x14ac:dyDescent="0.25">
      <c r="A14" s="1" t="s">
        <v>273</v>
      </c>
      <c r="B14" s="1"/>
      <c r="C14" s="1"/>
      <c r="D14" s="1"/>
      <c r="E14" s="1"/>
    </row>
    <row r="15" spans="1:10" x14ac:dyDescent="0.25">
      <c r="A15" s="1" t="s">
        <v>357</v>
      </c>
      <c r="B15" s="1"/>
      <c r="C15" s="1"/>
      <c r="D15" s="1"/>
      <c r="E15" s="1"/>
    </row>
    <row r="16" spans="1:10" x14ac:dyDescent="0.25">
      <c r="A16" s="1" t="s">
        <v>237</v>
      </c>
      <c r="B16" s="19" t="s">
        <v>238</v>
      </c>
      <c r="C16" s="19" t="s">
        <v>239</v>
      </c>
      <c r="D16" s="19" t="s">
        <v>240</v>
      </c>
      <c r="E16" s="19" t="s">
        <v>241</v>
      </c>
    </row>
    <row r="17" spans="1:22" x14ac:dyDescent="0.25">
      <c r="A17" t="s">
        <v>352</v>
      </c>
      <c r="B17">
        <v>45</v>
      </c>
      <c r="C17">
        <v>413</v>
      </c>
      <c r="D17">
        <v>27</v>
      </c>
      <c r="E17">
        <v>3</v>
      </c>
    </row>
    <row r="18" spans="1:22" x14ac:dyDescent="0.25">
      <c r="A18" t="s">
        <v>353</v>
      </c>
      <c r="B18">
        <v>55</v>
      </c>
      <c r="C18">
        <v>1696</v>
      </c>
      <c r="D18">
        <v>195</v>
      </c>
      <c r="E18">
        <v>57</v>
      </c>
    </row>
    <row r="19" spans="1:22" x14ac:dyDescent="0.25">
      <c r="A19" t="s">
        <v>354</v>
      </c>
      <c r="B19">
        <v>65</v>
      </c>
      <c r="C19">
        <v>1350</v>
      </c>
      <c r="D19">
        <v>227</v>
      </c>
      <c r="E19">
        <v>66</v>
      </c>
    </row>
    <row r="20" spans="1:22" x14ac:dyDescent="0.25">
      <c r="A20" t="s">
        <v>355</v>
      </c>
      <c r="B20">
        <v>75</v>
      </c>
      <c r="C20">
        <v>377</v>
      </c>
      <c r="D20">
        <v>109</v>
      </c>
      <c r="E20">
        <v>56</v>
      </c>
    </row>
    <row r="21" spans="1:22" x14ac:dyDescent="0.25">
      <c r="A21" t="s">
        <v>356</v>
      </c>
      <c r="B21">
        <v>85</v>
      </c>
      <c r="C21">
        <v>143</v>
      </c>
      <c r="D21">
        <v>51</v>
      </c>
      <c r="E21">
        <v>32</v>
      </c>
    </row>
    <row r="24" spans="1:22" ht="30.75" customHeight="1" x14ac:dyDescent="0.25">
      <c r="C24" s="107" t="s">
        <v>245</v>
      </c>
      <c r="D24" s="107"/>
      <c r="E24" s="107"/>
      <c r="F24" s="107" t="s">
        <v>246</v>
      </c>
      <c r="G24" s="107"/>
      <c r="H24" s="107"/>
      <c r="J24" s="108" t="s">
        <v>254</v>
      </c>
      <c r="K24" s="107"/>
      <c r="L24" s="107"/>
      <c r="N24" s="108" t="s">
        <v>255</v>
      </c>
      <c r="O24" s="107"/>
      <c r="P24" s="107"/>
      <c r="R24" s="108" t="s">
        <v>258</v>
      </c>
      <c r="S24" s="107"/>
      <c r="T24" s="107"/>
    </row>
    <row r="25" spans="1:22" x14ac:dyDescent="0.25">
      <c r="A25" s="1" t="s">
        <v>244</v>
      </c>
      <c r="B25" s="19" t="s">
        <v>1</v>
      </c>
      <c r="C25" s="19" t="s">
        <v>229</v>
      </c>
      <c r="D25" s="19" t="s">
        <v>247</v>
      </c>
      <c r="E25" s="19" t="s">
        <v>248</v>
      </c>
      <c r="F25" s="19" t="s">
        <v>229</v>
      </c>
      <c r="G25" s="19" t="s">
        <v>247</v>
      </c>
      <c r="H25" s="19" t="s">
        <v>248</v>
      </c>
      <c r="J25" s="19" t="s">
        <v>229</v>
      </c>
      <c r="K25" s="19" t="s">
        <v>247</v>
      </c>
      <c r="L25" s="19" t="s">
        <v>248</v>
      </c>
      <c r="N25" s="19" t="s">
        <v>229</v>
      </c>
      <c r="O25" s="19" t="s">
        <v>247</v>
      </c>
      <c r="P25" s="19" t="s">
        <v>248</v>
      </c>
      <c r="R25" s="19" t="s">
        <v>229</v>
      </c>
      <c r="S25" s="19" t="s">
        <v>247</v>
      </c>
      <c r="T25" s="19" t="s">
        <v>248</v>
      </c>
    </row>
    <row r="26" spans="1:22" x14ac:dyDescent="0.25">
      <c r="A26" t="str">
        <f>A17</f>
        <v>40-50 yr</v>
      </c>
      <c r="B26">
        <f>B17</f>
        <v>45</v>
      </c>
      <c r="C26" s="10">
        <f>D17/C17</f>
        <v>6.5375302663438259E-2</v>
      </c>
      <c r="D26" s="10">
        <f>_xlfn.BETA.INV(0.025,D17,C17-D17)</f>
        <v>4.3627995701768861E-2</v>
      </c>
      <c r="E26" s="10">
        <f>_xlfn.BETA.INV(0.975,D17,C17-D17)</f>
        <v>9.1101392296148331E-2</v>
      </c>
      <c r="F26" s="10">
        <f>E17/C17</f>
        <v>7.2639225181598066E-3</v>
      </c>
      <c r="G26" s="10">
        <f>_xlfn.BETA.INV(0.025,E17,C17-E17)</f>
        <v>1.5041560220532553E-3</v>
      </c>
      <c r="H26" s="10">
        <f>_xlfn.BETA.INV(0.975,E17,C17-E17)</f>
        <v>1.7424813859555188E-2</v>
      </c>
      <c r="J26" s="10">
        <f>C26*$J$10</f>
        <v>4.2313310959303345E-3</v>
      </c>
      <c r="K26" s="10">
        <f t="shared" ref="K26:L26" si="0">D26*$J$10</f>
        <v>2.8237650510985904E-3</v>
      </c>
      <c r="L26" s="10">
        <f t="shared" si="0"/>
        <v>5.8964186535357182E-3</v>
      </c>
      <c r="N26" s="10">
        <f>F26*$J$11</f>
        <v>9.8974561801221279E-4</v>
      </c>
      <c r="O26" s="10">
        <f t="shared" ref="O26:P26" si="1">G26*$J$11</f>
        <v>2.0494874882159893E-4</v>
      </c>
      <c r="P26" s="10">
        <f t="shared" si="1"/>
        <v>2.3742176653258466E-3</v>
      </c>
      <c r="R26" s="10">
        <f>AVERAGE(J26,N26)</f>
        <v>2.6105383569712736E-3</v>
      </c>
      <c r="S26" s="10">
        <f t="shared" ref="S26" si="2">AVERAGE(K26,O26)</f>
        <v>1.5143568999600946E-3</v>
      </c>
      <c r="T26" s="10">
        <f>AVERAGE(L26,P26)</f>
        <v>4.1353181594307826E-3</v>
      </c>
      <c r="V26" t="str">
        <f>TEXT(R26,"0.00%")&amp;" ("&amp;TEXT(S26,"0.00%")&amp;" - "&amp;TEXT(T26,"0.00%")&amp;")"</f>
        <v>0.26% (0.15% - 0.41%)</v>
      </c>
    </row>
    <row r="27" spans="1:22" x14ac:dyDescent="0.25">
      <c r="A27" t="str">
        <f t="shared" ref="A27:A30" si="3">A18</f>
        <v>50-59 yr</v>
      </c>
      <c r="B27">
        <f t="shared" ref="B27:B30" si="4">B18</f>
        <v>55</v>
      </c>
      <c r="C27" s="10">
        <f>D18/C18</f>
        <v>0.11497641509433962</v>
      </c>
      <c r="D27" s="10">
        <f>_xlfn.BETA.INV(0.025,D18,C18-D18)</f>
        <v>0.10023571172197622</v>
      </c>
      <c r="E27" s="10">
        <f>_xlfn.BETA.INV(0.975,D18,C18-D18)</f>
        <v>0.13057702024809492</v>
      </c>
      <c r="F27" s="10">
        <f>E18/C18</f>
        <v>3.3608490566037735E-2</v>
      </c>
      <c r="G27" s="10">
        <f>_xlfn.BETA.INV(0.025,E18,C18-E18)</f>
        <v>2.5567244818345318E-2</v>
      </c>
      <c r="H27" s="10">
        <f>_xlfn.BETA.INV(0.975,E18,C18-E18)</f>
        <v>4.2690429012268938E-2</v>
      </c>
      <c r="J27" s="10">
        <f t="shared" ref="J27:J30" si="5">C27*$J$10</f>
        <v>7.4416983274534733E-3</v>
      </c>
      <c r="K27" s="10">
        <f t="shared" ref="K27:K30" si="6">D27*$J$10</f>
        <v>6.4876255505139802E-3</v>
      </c>
      <c r="L27" s="10">
        <f t="shared" ref="L27:L30" si="7">E27*$J$10</f>
        <v>8.451427124308946E-3</v>
      </c>
      <c r="N27" s="10">
        <f t="shared" ref="N27:N30" si="8">F27*$J$11</f>
        <v>4.5793242125836279E-3</v>
      </c>
      <c r="O27" s="10">
        <f t="shared" ref="O27:O30" si="9">G27*$J$11</f>
        <v>3.4836644334159759E-3</v>
      </c>
      <c r="P27" s="10">
        <f t="shared" ref="P27:P30" si="10">H27*$J$11</f>
        <v>5.816783554659752E-3</v>
      </c>
      <c r="R27" s="10">
        <f t="shared" ref="R27:R30" si="11">AVERAGE(J27,N27)</f>
        <v>6.0105112700185506E-3</v>
      </c>
      <c r="S27" s="10">
        <f t="shared" ref="S27:S30" si="12">AVERAGE(K27,O27)</f>
        <v>4.9856449919649781E-3</v>
      </c>
      <c r="T27" s="10">
        <f t="shared" ref="T27:T30" si="13">AVERAGE(L27,P27)</f>
        <v>7.1341053394843486E-3</v>
      </c>
      <c r="V27" t="str">
        <f t="shared" ref="V27:V30" si="14">TEXT(R27,"0.00%")&amp;" ("&amp;TEXT(S27,"0.00%")&amp;" - "&amp;TEXT(T27,"0.00%")&amp;")"</f>
        <v>0.60% (0.50% - 0.71%)</v>
      </c>
    </row>
    <row r="28" spans="1:22" x14ac:dyDescent="0.25">
      <c r="A28" t="str">
        <f t="shared" si="3"/>
        <v>60-69 yr</v>
      </c>
      <c r="B28">
        <f t="shared" si="4"/>
        <v>65</v>
      </c>
      <c r="C28" s="10">
        <f>D19/C19</f>
        <v>0.16814814814814816</v>
      </c>
      <c r="D28" s="10">
        <f>_xlfn.BETA.INV(0.025,D19,C19-D19)</f>
        <v>0.14867797529002605</v>
      </c>
      <c r="E28" s="10">
        <f>_xlfn.BETA.INV(0.975,D19,C19-D19)</f>
        <v>0.18854950644501911</v>
      </c>
      <c r="F28" s="10">
        <f>E19/C19</f>
        <v>4.8888888888888891E-2</v>
      </c>
      <c r="G28" s="10">
        <f>_xlfn.BETA.INV(0.025,E19,C19-E19)</f>
        <v>3.803764162589552E-2</v>
      </c>
      <c r="H28" s="10">
        <f>_xlfn.BETA.INV(0.975,E19,C19-E19)</f>
        <v>6.1004990563664818E-2</v>
      </c>
      <c r="J28" s="10">
        <f t="shared" si="5"/>
        <v>1.0883169316174618E-2</v>
      </c>
      <c r="K28" s="10">
        <f t="shared" si="6"/>
        <v>9.6229878026474099E-3</v>
      </c>
      <c r="L28" s="10">
        <f t="shared" si="7"/>
        <v>1.220362059125597E-2</v>
      </c>
      <c r="N28" s="10">
        <f t="shared" si="8"/>
        <v>6.661354581673308E-3</v>
      </c>
      <c r="O28" s="10">
        <f t="shared" si="9"/>
        <v>5.1828181020144495E-3</v>
      </c>
      <c r="P28" s="10">
        <f t="shared" si="10"/>
        <v>8.3122337740132949E-3</v>
      </c>
      <c r="R28" s="10">
        <f t="shared" si="11"/>
        <v>8.7722619489239637E-3</v>
      </c>
      <c r="S28" s="10">
        <f t="shared" si="12"/>
        <v>7.4029029523309297E-3</v>
      </c>
      <c r="T28" s="10">
        <f t="shared" si="13"/>
        <v>1.0257927182634633E-2</v>
      </c>
      <c r="V28" t="str">
        <f t="shared" si="14"/>
        <v>0.88% (0.74% - 1.03%)</v>
      </c>
    </row>
    <row r="29" spans="1:22" x14ac:dyDescent="0.25">
      <c r="A29" t="str">
        <f t="shared" si="3"/>
        <v>70-79 yr</v>
      </c>
      <c r="B29">
        <f t="shared" si="4"/>
        <v>75</v>
      </c>
      <c r="C29" s="10">
        <f>D20/C20</f>
        <v>0.28912466843501328</v>
      </c>
      <c r="D29" s="10">
        <f>_xlfn.BETA.INV(0.025,D20,C20-D20)</f>
        <v>0.24451638077554247</v>
      </c>
      <c r="E29" s="10">
        <f>_xlfn.BETA.INV(0.975,D20,C20-D20)</f>
        <v>0.33585208410148382</v>
      </c>
      <c r="F29" s="10">
        <f>E20/C20</f>
        <v>0.14854111405835543</v>
      </c>
      <c r="G29" s="10">
        <f>_xlfn.BETA.INV(0.025,E20,C20-E20)</f>
        <v>0.11450699676689535</v>
      </c>
      <c r="H29" s="10">
        <f>_xlfn.BETA.INV(0.975,E20,C20-E20)</f>
        <v>0.18610503472509665</v>
      </c>
      <c r="J29" s="10">
        <f t="shared" si="5"/>
        <v>1.8713216617103436E-2</v>
      </c>
      <c r="K29" s="10">
        <f t="shared" si="6"/>
        <v>1.5826003449136171E-2</v>
      </c>
      <c r="L29" s="10">
        <f t="shared" si="7"/>
        <v>2.1737587578105125E-2</v>
      </c>
      <c r="N29" s="10">
        <f t="shared" si="8"/>
        <v>2.0239466537034886E-2</v>
      </c>
      <c r="O29" s="10">
        <f t="shared" si="9"/>
        <v>1.5602148563457456E-2</v>
      </c>
      <c r="P29" s="10">
        <f t="shared" si="10"/>
        <v>2.535773779919644E-2</v>
      </c>
      <c r="R29" s="10">
        <f t="shared" si="11"/>
        <v>1.9476341577069161E-2</v>
      </c>
      <c r="S29" s="10">
        <f t="shared" si="12"/>
        <v>1.5714076006296814E-2</v>
      </c>
      <c r="T29" s="10">
        <f t="shared" si="13"/>
        <v>2.3547662688650783E-2</v>
      </c>
      <c r="V29" t="str">
        <f t="shared" si="14"/>
        <v>1.95% (1.57% - 2.35%)</v>
      </c>
    </row>
    <row r="30" spans="1:22" x14ac:dyDescent="0.25">
      <c r="A30" t="str">
        <f t="shared" si="3"/>
        <v>&gt;80 yr</v>
      </c>
      <c r="B30">
        <f t="shared" si="4"/>
        <v>85</v>
      </c>
      <c r="C30" s="10">
        <f>D21/C21</f>
        <v>0.35664335664335667</v>
      </c>
      <c r="D30" s="10">
        <f>_xlfn.BETA.INV(0.025,D21,C21-D21)</f>
        <v>0.280440036797801</v>
      </c>
      <c r="E30" s="10">
        <f>_xlfn.BETA.INV(0.975,D21,C21-D21)</f>
        <v>0.43664543736069206</v>
      </c>
      <c r="F30" s="10">
        <f>E21/C21</f>
        <v>0.22377622377622378</v>
      </c>
      <c r="G30" s="10">
        <f>_xlfn.BETA.INV(0.025,E21,C21-E21)</f>
        <v>0.15953546456647499</v>
      </c>
      <c r="H30" s="10">
        <f>_xlfn.BETA.INV(0.975,E21,C21-E21)</f>
        <v>0.29533124715483261</v>
      </c>
      <c r="J30" s="10">
        <f t="shared" si="5"/>
        <v>2.3083275543532927E-2</v>
      </c>
      <c r="K30" s="10">
        <f t="shared" si="6"/>
        <v>1.8151115175028001E-2</v>
      </c>
      <c r="L30" s="10">
        <f t="shared" si="7"/>
        <v>2.8261305748932004E-2</v>
      </c>
      <c r="N30" s="10">
        <f t="shared" si="8"/>
        <v>3.0490624912935672E-2</v>
      </c>
      <c r="O30" s="10">
        <f t="shared" si="9"/>
        <v>2.1737501546507752E-2</v>
      </c>
      <c r="P30" s="10">
        <f t="shared" si="10"/>
        <v>4.0240353197989145E-2</v>
      </c>
      <c r="R30" s="10">
        <f t="shared" si="11"/>
        <v>2.67869502282343E-2</v>
      </c>
      <c r="S30" s="10">
        <f t="shared" si="12"/>
        <v>1.9944308360767875E-2</v>
      </c>
      <c r="T30" s="10">
        <f t="shared" si="13"/>
        <v>3.4250829473460573E-2</v>
      </c>
      <c r="V30" t="str">
        <f t="shared" si="14"/>
        <v>2.68% (1.99% - 3.43%)</v>
      </c>
    </row>
    <row r="32" spans="1:22" x14ac:dyDescent="0.25">
      <c r="A32" s="1" t="s">
        <v>257</v>
      </c>
    </row>
    <row r="33" spans="1:31" x14ac:dyDescent="0.25">
      <c r="A33" t="s">
        <v>249</v>
      </c>
      <c r="B33" s="25"/>
      <c r="C33" s="25"/>
      <c r="D33" s="25"/>
      <c r="E33" s="25"/>
      <c r="F33" s="25"/>
      <c r="G33" s="25"/>
      <c r="H33" s="25"/>
      <c r="I33" s="11"/>
      <c r="J33" s="25"/>
      <c r="K33" s="25"/>
      <c r="L33" s="25"/>
      <c r="M33" s="11"/>
      <c r="N33" s="25"/>
      <c r="O33" s="25"/>
      <c r="P33" s="25"/>
      <c r="Q33" s="4" t="s">
        <v>250</v>
      </c>
      <c r="R33">
        <v>1.1209999999999999E-5</v>
      </c>
      <c r="S33">
        <v>5.2140000000000004E-6</v>
      </c>
      <c r="T33">
        <v>1.8289999999999999E-5</v>
      </c>
    </row>
    <row r="34" spans="1:31" x14ac:dyDescent="0.25">
      <c r="B34" s="25"/>
      <c r="C34" s="25"/>
      <c r="D34" s="25"/>
      <c r="E34" s="25"/>
      <c r="F34" s="25"/>
      <c r="G34" s="25"/>
      <c r="H34" s="25"/>
      <c r="I34" s="11"/>
      <c r="J34" s="25"/>
      <c r="K34" s="25"/>
      <c r="L34" s="25"/>
      <c r="M34" s="11"/>
      <c r="N34" s="25"/>
      <c r="O34" s="25"/>
      <c r="P34" s="25"/>
      <c r="Q34" s="4" t="s">
        <v>251</v>
      </c>
      <c r="R34">
        <v>-8.3889999999999995E-4</v>
      </c>
      <c r="S34">
        <v>-2.029E-4</v>
      </c>
      <c r="T34">
        <v>-1.609E-3</v>
      </c>
    </row>
    <row r="35" spans="1:31" x14ac:dyDescent="0.25">
      <c r="B35" s="25"/>
      <c r="C35" s="25"/>
      <c r="D35" s="25"/>
      <c r="E35" s="25"/>
      <c r="F35" s="25"/>
      <c r="G35" s="25"/>
      <c r="H35" s="25"/>
      <c r="I35" s="11"/>
      <c r="J35" s="25"/>
      <c r="K35" s="25"/>
      <c r="L35" s="25"/>
      <c r="M35" s="11"/>
      <c r="N35" s="25"/>
      <c r="O35" s="25"/>
      <c r="P35" s="25"/>
      <c r="Q35" s="4" t="s">
        <v>252</v>
      </c>
      <c r="R35">
        <v>1.7639999999999999E-2</v>
      </c>
      <c r="S35">
        <v>1.2500000000000001E-5</v>
      </c>
      <c r="T35">
        <v>3.9539999999999999E-2</v>
      </c>
    </row>
    <row r="36" spans="1:31" ht="15.75" thickBot="1" x14ac:dyDescent="0.3"/>
    <row r="37" spans="1:31" x14ac:dyDescent="0.25">
      <c r="Q37" s="30"/>
      <c r="R37" s="31"/>
      <c r="S37" s="31"/>
      <c r="T37" s="31"/>
      <c r="U37" s="31"/>
      <c r="V37" s="31"/>
      <c r="W37" s="31"/>
      <c r="X37" s="32"/>
    </row>
    <row r="38" spans="1:31" x14ac:dyDescent="0.25">
      <c r="Q38" s="33"/>
      <c r="R38" s="13"/>
      <c r="S38" s="13"/>
      <c r="T38" s="13"/>
      <c r="U38" s="13"/>
      <c r="V38" s="109" t="s">
        <v>256</v>
      </c>
      <c r="W38" s="109"/>
      <c r="X38" s="34"/>
    </row>
    <row r="39" spans="1:31" x14ac:dyDescent="0.25">
      <c r="A39" s="1" t="s">
        <v>253</v>
      </c>
      <c r="Q39" s="35" t="s">
        <v>1</v>
      </c>
      <c r="R39" s="14" t="s">
        <v>229</v>
      </c>
      <c r="S39" s="14" t="s">
        <v>247</v>
      </c>
      <c r="T39" s="14" t="s">
        <v>248</v>
      </c>
      <c r="U39" s="13"/>
      <c r="V39" s="14" t="s">
        <v>217</v>
      </c>
      <c r="W39" s="14" t="s">
        <v>218</v>
      </c>
      <c r="X39" s="36"/>
    </row>
    <row r="40" spans="1:31" x14ac:dyDescent="0.25">
      <c r="B40" s="25"/>
      <c r="C40" s="25"/>
      <c r="D40" s="25"/>
      <c r="E40" s="25"/>
      <c r="F40" s="25"/>
      <c r="G40" s="25"/>
      <c r="H40" s="25"/>
      <c r="I40" s="11"/>
      <c r="J40" s="25"/>
      <c r="K40" s="25"/>
      <c r="L40" s="25"/>
      <c r="M40" s="11"/>
      <c r="N40" s="25"/>
      <c r="O40" s="25"/>
      <c r="P40" s="25"/>
      <c r="Q40" s="33">
        <v>50</v>
      </c>
      <c r="R40" s="37">
        <f t="shared" ref="R40:T44" si="15">R$33*$Q40^2+R$34*$Q40+R$35</f>
        <v>3.7200000000000011E-3</v>
      </c>
      <c r="S40" s="37">
        <f t="shared" si="15"/>
        <v>2.9025000000000019E-3</v>
      </c>
      <c r="T40" s="37">
        <f t="shared" si="15"/>
        <v>4.8150000000000068E-3</v>
      </c>
      <c r="U40" s="13"/>
      <c r="V40" s="49">
        <v>61.26</v>
      </c>
      <c r="W40" s="49">
        <v>16310</v>
      </c>
      <c r="X40" s="36"/>
      <c r="Z40" s="21"/>
      <c r="AA40" s="82">
        <f>R$33*$Q40^2+R$34*$Q40+R$35</f>
        <v>3.7200000000000011E-3</v>
      </c>
      <c r="AB40" s="82">
        <f>R$33*$Q41^2+R$34*$Q41+R$35</f>
        <v>7.6619999999999987E-3</v>
      </c>
      <c r="AC40" s="82">
        <f>R$33*$Q42^2+R$34*$Q42+R$35</f>
        <v>1.3846000000000001E-2</v>
      </c>
      <c r="AD40" s="82">
        <f>R$33*$Q43^2+R$34*$Q43+R$35</f>
        <v>2.2272000000000011E-2</v>
      </c>
      <c r="AE40" s="82">
        <f>R$33*$Q44^2+R$34*$Q44+R$35</f>
        <v>3.2939999999999997E-2</v>
      </c>
    </row>
    <row r="41" spans="1:31" x14ac:dyDescent="0.25">
      <c r="B41" s="25"/>
      <c r="C41" s="25"/>
      <c r="D41" s="25"/>
      <c r="E41" s="25"/>
      <c r="F41" s="25"/>
      <c r="G41" s="25"/>
      <c r="H41" s="25"/>
      <c r="I41" s="11"/>
      <c r="J41" s="25"/>
      <c r="K41" s="25"/>
      <c r="L41" s="25"/>
      <c r="M41" s="11"/>
      <c r="N41" s="25"/>
      <c r="O41" s="25"/>
      <c r="P41" s="25"/>
      <c r="Q41" s="33">
        <v>60</v>
      </c>
      <c r="R41" s="37">
        <f t="shared" si="15"/>
        <v>7.6619999999999987E-3</v>
      </c>
      <c r="S41" s="37">
        <f t="shared" si="15"/>
        <v>6.6089000000000026E-3</v>
      </c>
      <c r="T41" s="37">
        <f t="shared" si="15"/>
        <v>8.8439999999999977E-3</v>
      </c>
      <c r="U41" s="13"/>
      <c r="V41" s="49">
        <v>180.9</v>
      </c>
      <c r="W41" s="49">
        <v>23390</v>
      </c>
      <c r="X41" s="36"/>
      <c r="Z41" s="21"/>
      <c r="AA41" s="21"/>
      <c r="AB41" s="21"/>
    </row>
    <row r="42" spans="1:31" x14ac:dyDescent="0.25">
      <c r="B42" s="25"/>
      <c r="C42" s="25"/>
      <c r="D42" s="25"/>
      <c r="E42" s="25"/>
      <c r="F42" s="25"/>
      <c r="G42" s="25"/>
      <c r="H42" s="25"/>
      <c r="I42" s="11"/>
      <c r="J42" s="25"/>
      <c r="K42" s="25"/>
      <c r="L42" s="25"/>
      <c r="M42" s="11"/>
      <c r="N42" s="25"/>
      <c r="O42" s="25"/>
      <c r="P42" s="25"/>
      <c r="Q42" s="33">
        <v>70</v>
      </c>
      <c r="R42" s="37">
        <f t="shared" si="15"/>
        <v>1.3846000000000001E-2</v>
      </c>
      <c r="S42" s="37">
        <f t="shared" si="15"/>
        <v>1.1358100000000001E-2</v>
      </c>
      <c r="T42" s="37">
        <f t="shared" si="15"/>
        <v>1.6530999999999997E-2</v>
      </c>
      <c r="U42" s="13"/>
      <c r="V42" s="49">
        <v>109</v>
      </c>
      <c r="W42" s="49">
        <v>7741</v>
      </c>
      <c r="X42" s="36"/>
      <c r="Z42" s="21"/>
      <c r="AA42" s="21"/>
      <c r="AB42" s="21"/>
    </row>
    <row r="43" spans="1:31" x14ac:dyDescent="0.25">
      <c r="B43" s="25"/>
      <c r="C43" s="25"/>
      <c r="D43" s="25"/>
      <c r="E43" s="25"/>
      <c r="F43" s="25"/>
      <c r="G43" s="25"/>
      <c r="H43" s="25"/>
      <c r="I43" s="11"/>
      <c r="J43" s="25"/>
      <c r="K43" s="25"/>
      <c r="L43" s="25"/>
      <c r="M43" s="11"/>
      <c r="N43" s="25"/>
      <c r="O43" s="25"/>
      <c r="P43" s="25"/>
      <c r="Q43" s="33">
        <v>80</v>
      </c>
      <c r="R43" s="37">
        <f t="shared" si="15"/>
        <v>2.2272000000000011E-2</v>
      </c>
      <c r="S43" s="37">
        <f t="shared" si="15"/>
        <v>1.7150099999999998E-2</v>
      </c>
      <c r="T43" s="37">
        <f t="shared" si="15"/>
        <v>2.7875999999999991E-2</v>
      </c>
      <c r="U43" s="13"/>
      <c r="V43" s="49">
        <v>65.069999999999993</v>
      </c>
      <c r="W43" s="49">
        <v>2844</v>
      </c>
      <c r="X43" s="36"/>
      <c r="Z43" s="21"/>
      <c r="AA43" s="82">
        <f>T$33*$Q40^2+T$34*$Q40+T$35</f>
        <v>4.8150000000000068E-3</v>
      </c>
      <c r="AB43" s="82">
        <f>T$33*$Q41^2+T$34*$Q41+T$35</f>
        <v>8.8439999999999977E-3</v>
      </c>
      <c r="AC43" s="82">
        <f>T$33*$Q42^2+T$34*$Q42+T$35</f>
        <v>1.6530999999999997E-2</v>
      </c>
      <c r="AD43" s="82">
        <f>T$33*$Q43^2+T$34*$Q43+T$35</f>
        <v>2.7875999999999991E-2</v>
      </c>
      <c r="AE43" s="82">
        <f>T$33*$Q44^2+T$34*$Q44+T$35</f>
        <v>4.2879000000000007E-2</v>
      </c>
    </row>
    <row r="44" spans="1:31" x14ac:dyDescent="0.25">
      <c r="B44" s="25"/>
      <c r="C44" s="25"/>
      <c r="D44" s="25"/>
      <c r="E44" s="25"/>
      <c r="F44" s="25"/>
      <c r="G44" s="25"/>
      <c r="H44" s="25"/>
      <c r="I44" s="11"/>
      <c r="J44" s="25"/>
      <c r="K44" s="25"/>
      <c r="L44" s="25"/>
      <c r="M44" s="11"/>
      <c r="N44" s="25"/>
      <c r="O44" s="25"/>
      <c r="P44" s="25"/>
      <c r="Q44" s="33">
        <v>90</v>
      </c>
      <c r="R44" s="37">
        <f t="shared" si="15"/>
        <v>3.2939999999999997E-2</v>
      </c>
      <c r="S44" s="37">
        <f t="shared" si="15"/>
        <v>2.3984900000000003E-2</v>
      </c>
      <c r="T44" s="37">
        <f t="shared" si="15"/>
        <v>4.2879000000000007E-2</v>
      </c>
      <c r="U44" s="13"/>
      <c r="V44" s="49">
        <v>45.51</v>
      </c>
      <c r="W44" s="49">
        <v>1327</v>
      </c>
      <c r="X44" s="36"/>
      <c r="Z44" s="21"/>
      <c r="AA44" s="21"/>
      <c r="AB44" s="21"/>
    </row>
    <row r="45" spans="1:31" ht="15.75" thickBot="1" x14ac:dyDescent="0.3">
      <c r="Q45" s="38"/>
      <c r="R45" s="39"/>
      <c r="S45" s="39"/>
      <c r="T45" s="39"/>
      <c r="U45" s="39"/>
      <c r="V45" s="39"/>
      <c r="W45" s="39"/>
      <c r="X45" s="40"/>
    </row>
    <row r="51" spans="17:30" x14ac:dyDescent="0.25"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</row>
    <row r="52" spans="17:30" x14ac:dyDescent="0.25">
      <c r="Q52" s="1" t="s">
        <v>259</v>
      </c>
    </row>
    <row r="53" spans="17:30" x14ac:dyDescent="0.25">
      <c r="V53" t="s">
        <v>261</v>
      </c>
      <c r="W53" t="s">
        <v>262</v>
      </c>
    </row>
    <row r="54" spans="17:30" x14ac:dyDescent="0.25">
      <c r="U54">
        <v>0</v>
      </c>
      <c r="V54">
        <v>0</v>
      </c>
      <c r="W54">
        <v>0</v>
      </c>
    </row>
    <row r="55" spans="17:30" x14ac:dyDescent="0.25">
      <c r="Q55" s="1" t="s">
        <v>3</v>
      </c>
      <c r="R55" s="19" t="s">
        <v>263</v>
      </c>
      <c r="S55" s="19" t="s">
        <v>247</v>
      </c>
      <c r="T55" s="19" t="s">
        <v>248</v>
      </c>
      <c r="U55">
        <f>U56</f>
        <v>100</v>
      </c>
      <c r="V55">
        <v>0</v>
      </c>
      <c r="W55">
        <v>0</v>
      </c>
    </row>
    <row r="56" spans="17:30" x14ac:dyDescent="0.25">
      <c r="Q56">
        <f>Q40</f>
        <v>50</v>
      </c>
      <c r="R56" s="12">
        <f>R40</f>
        <v>3.7200000000000011E-3</v>
      </c>
      <c r="S56" s="12">
        <f>S40</f>
        <v>2.9025000000000019E-3</v>
      </c>
      <c r="T56" s="12">
        <f>T40</f>
        <v>4.8150000000000068E-3</v>
      </c>
      <c r="U56">
        <f>1000*(Q56-$Q$62)/($Q$63-$Q$62)</f>
        <v>100</v>
      </c>
      <c r="V56" s="12">
        <f>S56</f>
        <v>2.9025000000000019E-3</v>
      </c>
      <c r="W56" s="12">
        <f>T56-S56</f>
        <v>1.9125000000000049E-3</v>
      </c>
    </row>
    <row r="57" spans="17:30" x14ac:dyDescent="0.25">
      <c r="Q57">
        <f>Q41</f>
        <v>60</v>
      </c>
      <c r="R57" s="12">
        <f t="shared" ref="R57:R60" si="16">R41</f>
        <v>7.6619999999999987E-3</v>
      </c>
      <c r="S57" s="12">
        <f t="shared" ref="S57:T60" si="17">S41</f>
        <v>6.6089000000000026E-3</v>
      </c>
      <c r="T57" s="12">
        <f t="shared" si="17"/>
        <v>8.8439999999999977E-3</v>
      </c>
      <c r="U57">
        <f>1000*(Q57-$Q$62)/($Q$63-$Q$62)</f>
        <v>300</v>
      </c>
      <c r="V57" s="12">
        <f>S57</f>
        <v>6.6089000000000026E-3</v>
      </c>
      <c r="W57" s="12">
        <f>T57-S57</f>
        <v>2.2350999999999951E-3</v>
      </c>
    </row>
    <row r="58" spans="17:30" x14ac:dyDescent="0.25">
      <c r="Q58">
        <f>Q42</f>
        <v>70</v>
      </c>
      <c r="R58" s="12">
        <f t="shared" si="16"/>
        <v>1.3846000000000001E-2</v>
      </c>
      <c r="S58" s="12">
        <f t="shared" si="17"/>
        <v>1.1358100000000001E-2</v>
      </c>
      <c r="T58" s="12">
        <f t="shared" si="17"/>
        <v>1.6530999999999997E-2</v>
      </c>
      <c r="U58">
        <f>1000*(Q58-$Q$62)/($Q$63-$Q$62)</f>
        <v>500</v>
      </c>
      <c r="V58" s="12">
        <f>S58</f>
        <v>1.1358100000000001E-2</v>
      </c>
      <c r="W58" s="12">
        <f>T58-S58</f>
        <v>5.1728999999999959E-3</v>
      </c>
    </row>
    <row r="59" spans="17:30" x14ac:dyDescent="0.25">
      <c r="Q59">
        <f>Q43</f>
        <v>80</v>
      </c>
      <c r="R59" s="12">
        <f t="shared" si="16"/>
        <v>2.2272000000000011E-2</v>
      </c>
      <c r="S59" s="12">
        <f t="shared" si="17"/>
        <v>1.7150099999999998E-2</v>
      </c>
      <c r="T59" s="12">
        <f t="shared" si="17"/>
        <v>2.7875999999999991E-2</v>
      </c>
      <c r="U59">
        <f>1000*(Q59-$Q$62)/($Q$63-$Q$62)</f>
        <v>700</v>
      </c>
      <c r="V59" s="12">
        <f>S59</f>
        <v>1.7150099999999998E-2</v>
      </c>
      <c r="W59" s="12">
        <f>T59-S59</f>
        <v>1.0725899999999993E-2</v>
      </c>
    </row>
    <row r="60" spans="17:30" x14ac:dyDescent="0.25">
      <c r="Q60">
        <f>Q44</f>
        <v>90</v>
      </c>
      <c r="R60" s="12">
        <f t="shared" si="16"/>
        <v>3.2939999999999997E-2</v>
      </c>
      <c r="S60" s="12">
        <f t="shared" si="17"/>
        <v>2.3984900000000003E-2</v>
      </c>
      <c r="T60" s="12">
        <f t="shared" si="17"/>
        <v>4.2879000000000007E-2</v>
      </c>
      <c r="U60">
        <f>1000*(Q60-$Q$62)/($Q$63-$Q$62)</f>
        <v>900</v>
      </c>
      <c r="V60" s="12">
        <f>S60</f>
        <v>2.3984900000000003E-2</v>
      </c>
      <c r="W60" s="12">
        <f>T60-S60</f>
        <v>1.8894100000000004E-2</v>
      </c>
    </row>
    <row r="61" spans="17:30" x14ac:dyDescent="0.25">
      <c r="U61">
        <f>U60</f>
        <v>900</v>
      </c>
      <c r="V61">
        <v>0</v>
      </c>
      <c r="W61">
        <v>0</v>
      </c>
    </row>
    <row r="62" spans="17:30" x14ac:dyDescent="0.25">
      <c r="Q62">
        <v>45</v>
      </c>
      <c r="R62" t="s">
        <v>2</v>
      </c>
      <c r="U62">
        <v>1000</v>
      </c>
      <c r="V62">
        <v>0</v>
      </c>
      <c r="W62">
        <v>0</v>
      </c>
    </row>
    <row r="63" spans="17:30" x14ac:dyDescent="0.25">
      <c r="Q63">
        <v>95</v>
      </c>
      <c r="R63" t="s">
        <v>260</v>
      </c>
    </row>
  </sheetData>
  <mergeCells count="6">
    <mergeCell ref="V38:W38"/>
    <mergeCell ref="C24:E24"/>
    <mergeCell ref="F24:H24"/>
    <mergeCell ref="J24:L24"/>
    <mergeCell ref="N24:P24"/>
    <mergeCell ref="R24:T24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13"/>
  <sheetViews>
    <sheetView topLeftCell="A10" zoomScale="85" zoomScaleNormal="85" workbookViewId="0">
      <selection activeCell="AB21" sqref="AB21"/>
    </sheetView>
  </sheetViews>
  <sheetFormatPr defaultRowHeight="15" x14ac:dyDescent="0.25"/>
  <cols>
    <col min="2" max="2" width="14" hidden="1" customWidth="1"/>
    <col min="3" max="3" width="12.28515625" hidden="1" customWidth="1"/>
    <col min="4" max="4" width="12.7109375" bestFit="1" customWidth="1"/>
    <col min="5" max="5" width="12.28515625" bestFit="1" customWidth="1"/>
    <col min="6" max="6" width="38.5703125" hidden="1" customWidth="1"/>
    <col min="7" max="8" width="0" hidden="1" customWidth="1"/>
    <col min="9" max="9" width="12.7109375" bestFit="1" customWidth="1"/>
    <col min="10" max="10" width="12.28515625" bestFit="1" customWidth="1"/>
    <col min="11" max="11" width="38.5703125" hidden="1" customWidth="1"/>
    <col min="12" max="13" width="0" hidden="1" customWidth="1"/>
    <col min="14" max="14" width="12.7109375" bestFit="1" customWidth="1"/>
    <col min="15" max="15" width="12.28515625" bestFit="1" customWidth="1"/>
    <col min="21" max="21" width="3.28515625" bestFit="1" customWidth="1"/>
    <col min="22" max="22" width="14.7109375" bestFit="1" customWidth="1"/>
    <col min="23" max="23" width="11.28515625" bestFit="1" customWidth="1"/>
    <col min="24" max="24" width="11.42578125" bestFit="1" customWidth="1"/>
    <col min="25" max="25" width="6.42578125" customWidth="1"/>
    <col min="26" max="26" width="2.85546875" customWidth="1"/>
  </cols>
  <sheetData>
    <row r="1" spans="1:26" ht="18.75" x14ac:dyDescent="0.3">
      <c r="A1" s="22" t="s">
        <v>270</v>
      </c>
    </row>
    <row r="3" spans="1:26" x14ac:dyDescent="0.25">
      <c r="A3" s="23" t="s">
        <v>231</v>
      </c>
    </row>
    <row r="4" spans="1:26" x14ac:dyDescent="0.25">
      <c r="A4" s="1" t="s">
        <v>267</v>
      </c>
      <c r="E4" t="s">
        <v>358</v>
      </c>
    </row>
    <row r="5" spans="1:26" x14ac:dyDescent="0.25">
      <c r="A5" s="20"/>
    </row>
    <row r="6" spans="1:26" x14ac:dyDescent="0.25">
      <c r="A6" s="20"/>
    </row>
    <row r="7" spans="1:26" x14ac:dyDescent="0.25">
      <c r="A7" s="1" t="s">
        <v>360</v>
      </c>
    </row>
    <row r="8" spans="1:26" x14ac:dyDescent="0.25">
      <c r="A8" s="1" t="s">
        <v>359</v>
      </c>
    </row>
    <row r="9" spans="1:26" x14ac:dyDescent="0.25">
      <c r="D9" s="107" t="s">
        <v>263</v>
      </c>
      <c r="E9" s="107"/>
      <c r="I9" s="107" t="s">
        <v>268</v>
      </c>
      <c r="J9" s="107"/>
      <c r="N9" s="107" t="s">
        <v>269</v>
      </c>
      <c r="O9" s="107"/>
    </row>
    <row r="10" spans="1:26" ht="15.75" thickBot="1" x14ac:dyDescent="0.3">
      <c r="B10" s="1" t="s">
        <v>263</v>
      </c>
      <c r="C10" s="1" t="s">
        <v>109</v>
      </c>
      <c r="D10" s="19" t="s">
        <v>361</v>
      </c>
      <c r="E10" s="19" t="s">
        <v>215</v>
      </c>
      <c r="F10" s="19"/>
      <c r="G10" s="19" t="s">
        <v>167</v>
      </c>
      <c r="H10" s="19" t="s">
        <v>109</v>
      </c>
      <c r="I10" s="19" t="s">
        <v>361</v>
      </c>
      <c r="J10" s="19" t="s">
        <v>215</v>
      </c>
      <c r="K10" s="19"/>
      <c r="L10" s="19" t="s">
        <v>168</v>
      </c>
      <c r="M10" s="19" t="s">
        <v>109</v>
      </c>
      <c r="N10" s="19" t="s">
        <v>361</v>
      </c>
      <c r="O10" s="19" t="s">
        <v>215</v>
      </c>
    </row>
    <row r="11" spans="1:26" x14ac:dyDescent="0.25">
      <c r="B11" t="s">
        <v>5</v>
      </c>
      <c r="C11">
        <f>FIND(",",B11)</f>
        <v>19</v>
      </c>
      <c r="D11">
        <f>_xlfn.NUMBERVALUE(LEFT(B11,C11-1))</f>
        <v>1.0335996861098899</v>
      </c>
      <c r="E11">
        <f>_xlfn.NUMBERVALUE(RIGHT(B11,LEN(B11)-C11))</f>
        <v>1.8756172079762901</v>
      </c>
      <c r="G11" t="s">
        <v>110</v>
      </c>
      <c r="H11">
        <f t="shared" ref="H11:H42" si="0">FIND(",",G11)</f>
        <v>19</v>
      </c>
      <c r="I11">
        <f t="shared" ref="I11:I42" si="1">_xlfn.NUMBERVALUE(LEFT(G11,H11-1))</f>
        <v>1.07359528894251</v>
      </c>
      <c r="J11">
        <f t="shared" ref="J11:J42" si="2">_xlfn.NUMBERVALUE(RIGHT(G11,LEN(G11)-H11))</f>
        <v>2.5590606466626502</v>
      </c>
      <c r="L11" t="s">
        <v>169</v>
      </c>
      <c r="M11">
        <f t="shared" ref="M11:M54" si="3">FIND(",",L11)</f>
        <v>19</v>
      </c>
      <c r="N11">
        <f t="shared" ref="N11:N54" si="4">_xlfn.NUMBERVALUE(LEFT(L11,M11-1))</f>
        <v>1.0427825444293599</v>
      </c>
      <c r="O11">
        <f t="shared" ref="O11:O54" si="5">_xlfn.NUMBERVALUE(RIGHT(L11,LEN(L11)-M11))</f>
        <v>1.3653271682791699</v>
      </c>
      <c r="R11" s="30"/>
      <c r="S11" s="31"/>
      <c r="T11" s="31"/>
      <c r="U11" s="31"/>
      <c r="V11" s="31"/>
      <c r="W11" s="31"/>
      <c r="X11" s="31"/>
      <c r="Y11" s="31"/>
      <c r="Z11" s="32"/>
    </row>
    <row r="12" spans="1:26" x14ac:dyDescent="0.25">
      <c r="B12" t="s">
        <v>6</v>
      </c>
      <c r="C12">
        <f t="shared" ref="C12:C75" si="6">FIND(",",B12)</f>
        <v>19</v>
      </c>
      <c r="D12">
        <f t="shared" ref="D12:D75" si="7">_xlfn.NUMBERVALUE(LEFT(B12,C12-1))</f>
        <v>1.09065279754976</v>
      </c>
      <c r="E12">
        <f t="shared" ref="E12:E75" si="8">_xlfn.NUMBERVALUE(RIGHT(B12,LEN(B12)-C12))</f>
        <v>1.8629161591250301</v>
      </c>
      <c r="G12" t="s">
        <v>111</v>
      </c>
      <c r="H12">
        <f t="shared" si="0"/>
        <v>19</v>
      </c>
      <c r="I12">
        <f t="shared" si="1"/>
        <v>1.15927656449312</v>
      </c>
      <c r="J12">
        <f t="shared" si="2"/>
        <v>2.5148101924648598</v>
      </c>
      <c r="L12" t="s">
        <v>170</v>
      </c>
      <c r="M12">
        <f t="shared" si="3"/>
        <v>19</v>
      </c>
      <c r="N12">
        <f t="shared" si="4"/>
        <v>1.20668957985488</v>
      </c>
      <c r="O12">
        <f t="shared" si="5"/>
        <v>1.3587353239253599</v>
      </c>
      <c r="R12" s="33"/>
      <c r="S12" s="13"/>
      <c r="T12" s="13"/>
      <c r="U12" s="13"/>
      <c r="V12" s="13"/>
      <c r="W12" s="13"/>
      <c r="X12" s="13"/>
      <c r="Y12" s="13"/>
      <c r="Z12" s="36"/>
    </row>
    <row r="13" spans="1:26" x14ac:dyDescent="0.25">
      <c r="B13" t="s">
        <v>7</v>
      </c>
      <c r="C13">
        <f t="shared" si="6"/>
        <v>19</v>
      </c>
      <c r="D13">
        <f t="shared" si="7"/>
        <v>1.14770590898962</v>
      </c>
      <c r="E13">
        <f t="shared" si="8"/>
        <v>1.8502151102737701</v>
      </c>
      <c r="G13" t="s">
        <v>112</v>
      </c>
      <c r="H13">
        <f t="shared" si="0"/>
        <v>19</v>
      </c>
      <c r="I13">
        <f t="shared" si="1"/>
        <v>1.18787932650616</v>
      </c>
      <c r="J13">
        <f t="shared" si="2"/>
        <v>2.4895605073485498</v>
      </c>
      <c r="L13" t="s">
        <v>171</v>
      </c>
      <c r="M13">
        <f t="shared" si="3"/>
        <v>19</v>
      </c>
      <c r="N13">
        <f t="shared" si="4"/>
        <v>1.37773460473481</v>
      </c>
      <c r="O13">
        <f t="shared" si="5"/>
        <v>1.34898091840759</v>
      </c>
      <c r="R13" s="33"/>
      <c r="S13" s="13"/>
      <c r="T13" s="13"/>
      <c r="U13" s="13"/>
      <c r="V13" s="13"/>
      <c r="W13" s="13"/>
      <c r="X13" s="13"/>
      <c r="Y13" s="13"/>
      <c r="Z13" s="36"/>
    </row>
    <row r="14" spans="1:26" x14ac:dyDescent="0.25">
      <c r="B14" t="s">
        <v>8</v>
      </c>
      <c r="C14">
        <f t="shared" si="6"/>
        <v>19</v>
      </c>
      <c r="D14">
        <f t="shared" si="7"/>
        <v>1.20475902042949</v>
      </c>
      <c r="E14">
        <f t="shared" si="8"/>
        <v>1.8375140614225001</v>
      </c>
      <c r="G14" t="s">
        <v>113</v>
      </c>
      <c r="H14">
        <f t="shared" si="0"/>
        <v>18</v>
      </c>
      <c r="I14">
        <f t="shared" si="1"/>
        <v>1.2806985915111799</v>
      </c>
      <c r="J14">
        <f t="shared" si="2"/>
        <v>2.4421474919867898</v>
      </c>
      <c r="L14" t="s">
        <v>172</v>
      </c>
      <c r="M14">
        <f t="shared" si="3"/>
        <v>19</v>
      </c>
      <c r="N14">
        <f t="shared" si="4"/>
        <v>1.5060024970837</v>
      </c>
      <c r="O14">
        <f t="shared" si="5"/>
        <v>1.34560243941316</v>
      </c>
      <c r="R14" s="33"/>
      <c r="S14" s="13"/>
      <c r="T14" s="13"/>
      <c r="U14" s="13"/>
      <c r="V14" s="13"/>
      <c r="W14" s="13"/>
      <c r="X14" s="13"/>
      <c r="Y14" s="13"/>
      <c r="Z14" s="36"/>
    </row>
    <row r="15" spans="1:26" x14ac:dyDescent="0.25">
      <c r="B15" t="s">
        <v>9</v>
      </c>
      <c r="C15">
        <f t="shared" si="6"/>
        <v>19</v>
      </c>
      <c r="D15">
        <f t="shared" si="7"/>
        <v>1.26181213186935</v>
      </c>
      <c r="E15">
        <f t="shared" si="8"/>
        <v>1.8248130125712401</v>
      </c>
      <c r="G15" t="s">
        <v>114</v>
      </c>
      <c r="H15">
        <f t="shared" si="0"/>
        <v>19</v>
      </c>
      <c r="I15">
        <f t="shared" si="1"/>
        <v>1.31636313668552</v>
      </c>
      <c r="J15">
        <f t="shared" si="2"/>
        <v>2.4326344063972001</v>
      </c>
      <c r="L15" t="s">
        <v>173</v>
      </c>
      <c r="M15">
        <f t="shared" si="3"/>
        <v>17</v>
      </c>
      <c r="N15">
        <f t="shared" si="4"/>
        <v>1.79105213645256</v>
      </c>
      <c r="O15">
        <f t="shared" si="5"/>
        <v>1.33564481711377</v>
      </c>
      <c r="R15" s="33"/>
      <c r="S15" s="13"/>
      <c r="T15" s="13"/>
      <c r="U15" s="13"/>
      <c r="V15" s="13"/>
      <c r="W15" s="13"/>
      <c r="X15" s="13"/>
      <c r="Y15" s="13"/>
      <c r="Z15" s="36"/>
    </row>
    <row r="16" spans="1:26" x14ac:dyDescent="0.25">
      <c r="B16" t="s">
        <v>10</v>
      </c>
      <c r="C16">
        <f t="shared" si="6"/>
        <v>19</v>
      </c>
      <c r="D16">
        <f t="shared" si="7"/>
        <v>1.3188652433092201</v>
      </c>
      <c r="E16">
        <f t="shared" si="8"/>
        <v>1.8121119637199801</v>
      </c>
      <c r="G16" t="s">
        <v>115</v>
      </c>
      <c r="H16">
        <f t="shared" si="0"/>
        <v>19</v>
      </c>
      <c r="I16">
        <f t="shared" si="1"/>
        <v>1.3806558459706</v>
      </c>
      <c r="J16">
        <f t="shared" si="2"/>
        <v>2.39157191546107</v>
      </c>
      <c r="L16" t="s">
        <v>174</v>
      </c>
      <c r="M16">
        <f t="shared" si="3"/>
        <v>19</v>
      </c>
      <c r="N16">
        <f t="shared" si="4"/>
        <v>1.9549845739757801</v>
      </c>
      <c r="O16">
        <f t="shared" si="5"/>
        <v>1.3227532525297401</v>
      </c>
      <c r="R16" s="33"/>
      <c r="S16" s="13"/>
      <c r="T16" s="13"/>
      <c r="U16" s="13"/>
      <c r="V16" s="13"/>
      <c r="W16" s="13"/>
      <c r="X16" s="13"/>
      <c r="Y16" s="13"/>
      <c r="Z16" s="36"/>
    </row>
    <row r="17" spans="2:26" x14ac:dyDescent="0.25">
      <c r="B17" t="s">
        <v>11</v>
      </c>
      <c r="C17">
        <f t="shared" si="6"/>
        <v>19</v>
      </c>
      <c r="D17">
        <f t="shared" si="7"/>
        <v>1.3973069210146101</v>
      </c>
      <c r="E17">
        <f t="shared" si="8"/>
        <v>1.79622295160705</v>
      </c>
      <c r="G17" t="s">
        <v>116</v>
      </c>
      <c r="H17">
        <f t="shared" si="0"/>
        <v>19</v>
      </c>
      <c r="I17">
        <f t="shared" si="1"/>
        <v>1.4305963700537601</v>
      </c>
      <c r="J17">
        <f t="shared" si="2"/>
        <v>2.3757337075435498</v>
      </c>
      <c r="L17" t="s">
        <v>175</v>
      </c>
      <c r="M17">
        <f t="shared" si="3"/>
        <v>19</v>
      </c>
      <c r="N17">
        <f t="shared" si="4"/>
        <v>2.21867104917682</v>
      </c>
      <c r="O17">
        <f t="shared" si="5"/>
        <v>1.3096838732617899</v>
      </c>
      <c r="R17" s="33"/>
      <c r="S17" s="13"/>
      <c r="T17" s="13"/>
      <c r="U17" s="13"/>
      <c r="V17" s="13"/>
      <c r="W17" s="13"/>
      <c r="X17" s="13"/>
      <c r="Y17" s="13"/>
      <c r="Z17" s="36"/>
    </row>
    <row r="18" spans="2:26" x14ac:dyDescent="0.25">
      <c r="B18" t="s">
        <v>12</v>
      </c>
      <c r="C18">
        <f t="shared" si="6"/>
        <v>18</v>
      </c>
      <c r="D18">
        <f t="shared" si="7"/>
        <v>1.44722204300006</v>
      </c>
      <c r="E18">
        <f t="shared" si="8"/>
        <v>1.7866844639197601</v>
      </c>
      <c r="G18" t="s">
        <v>117</v>
      </c>
      <c r="H18">
        <f t="shared" si="0"/>
        <v>19</v>
      </c>
      <c r="I18">
        <f t="shared" si="1"/>
        <v>1.5305790266108901</v>
      </c>
      <c r="J18">
        <f t="shared" si="2"/>
        <v>2.3188584107876</v>
      </c>
      <c r="L18" t="s">
        <v>176</v>
      </c>
      <c r="M18">
        <f t="shared" si="3"/>
        <v>18</v>
      </c>
      <c r="N18">
        <f t="shared" si="4"/>
        <v>2.3326756636657402</v>
      </c>
      <c r="O18">
        <f t="shared" si="5"/>
        <v>1.30948065648017</v>
      </c>
      <c r="R18" s="33"/>
      <c r="S18" s="13"/>
      <c r="T18" s="13"/>
      <c r="U18" s="13"/>
      <c r="V18" s="13"/>
      <c r="W18" s="13"/>
      <c r="X18" s="13"/>
      <c r="Y18" s="13"/>
      <c r="Z18" s="36"/>
    </row>
    <row r="19" spans="2:26" x14ac:dyDescent="0.25">
      <c r="B19" t="s">
        <v>13</v>
      </c>
      <c r="C19">
        <f t="shared" si="6"/>
        <v>19</v>
      </c>
      <c r="D19">
        <f t="shared" si="7"/>
        <v>1.50427515443993</v>
      </c>
      <c r="E19">
        <f t="shared" si="8"/>
        <v>1.7739834150685001</v>
      </c>
      <c r="G19" t="s">
        <v>118</v>
      </c>
      <c r="H19">
        <f t="shared" si="0"/>
        <v>19</v>
      </c>
      <c r="I19">
        <f t="shared" si="1"/>
        <v>1.6019335190572801</v>
      </c>
      <c r="J19">
        <f t="shared" si="2"/>
        <v>2.2935325193781799</v>
      </c>
      <c r="L19" t="s">
        <v>177</v>
      </c>
      <c r="M19">
        <f t="shared" si="3"/>
        <v>19</v>
      </c>
      <c r="N19">
        <f t="shared" si="4"/>
        <v>2.45384366970677</v>
      </c>
      <c r="O19">
        <f t="shared" si="5"/>
        <v>1.29981515830436</v>
      </c>
      <c r="R19" s="33"/>
      <c r="S19" s="13"/>
      <c r="T19" s="13"/>
      <c r="U19" s="13"/>
      <c r="V19" s="13"/>
      <c r="W19" s="13"/>
      <c r="X19" s="13"/>
      <c r="Y19" s="13"/>
      <c r="Z19" s="36"/>
    </row>
    <row r="20" spans="2:26" x14ac:dyDescent="0.25">
      <c r="B20" t="s">
        <v>14</v>
      </c>
      <c r="C20">
        <f t="shared" si="6"/>
        <v>19</v>
      </c>
      <c r="D20">
        <f t="shared" si="7"/>
        <v>1.56132826587979</v>
      </c>
      <c r="E20">
        <f t="shared" si="8"/>
        <v>1.7612823662172301</v>
      </c>
      <c r="G20" t="s">
        <v>119</v>
      </c>
      <c r="H20">
        <f t="shared" si="0"/>
        <v>19</v>
      </c>
      <c r="I20">
        <f t="shared" si="1"/>
        <v>1.8446759647025801</v>
      </c>
      <c r="J20">
        <f t="shared" si="2"/>
        <v>2.1734059993429602</v>
      </c>
      <c r="L20" t="s">
        <v>178</v>
      </c>
      <c r="M20">
        <f t="shared" si="3"/>
        <v>18</v>
      </c>
      <c r="N20">
        <f t="shared" si="4"/>
        <v>2.6819037028800099</v>
      </c>
      <c r="O20">
        <f t="shared" si="5"/>
        <v>1.28680928428067</v>
      </c>
      <c r="R20" s="33"/>
      <c r="S20" s="13"/>
      <c r="T20" s="13"/>
      <c r="U20" s="13"/>
      <c r="V20" s="13"/>
      <c r="W20" s="13"/>
      <c r="X20" s="13"/>
      <c r="Y20" s="13"/>
      <c r="Z20" s="36"/>
    </row>
    <row r="21" spans="2:26" x14ac:dyDescent="0.25">
      <c r="B21" t="s">
        <v>15</v>
      </c>
      <c r="C21">
        <f t="shared" si="6"/>
        <v>19</v>
      </c>
      <c r="D21">
        <f t="shared" si="7"/>
        <v>1.61838137731966</v>
      </c>
      <c r="E21">
        <f t="shared" si="8"/>
        <v>1.7485813173659699</v>
      </c>
      <c r="G21" t="s">
        <v>120</v>
      </c>
      <c r="H21">
        <f t="shared" si="0"/>
        <v>19</v>
      </c>
      <c r="I21">
        <f t="shared" si="1"/>
        <v>1.8803659119746201</v>
      </c>
      <c r="J21">
        <f t="shared" si="2"/>
        <v>2.1575931935231401</v>
      </c>
      <c r="L21" t="s">
        <v>179</v>
      </c>
      <c r="M21">
        <f t="shared" si="3"/>
        <v>19</v>
      </c>
      <c r="N21">
        <f t="shared" si="4"/>
        <v>2.8886005718854402</v>
      </c>
      <c r="O21">
        <f t="shared" si="5"/>
        <v>1.27069165328842</v>
      </c>
      <c r="R21" s="33"/>
      <c r="S21" s="13"/>
      <c r="T21" s="13"/>
      <c r="U21" s="13"/>
      <c r="V21" s="13"/>
      <c r="W21" s="13"/>
      <c r="X21" s="13"/>
      <c r="Y21" s="13"/>
      <c r="Z21" s="36"/>
    </row>
    <row r="22" spans="2:26" x14ac:dyDescent="0.25">
      <c r="B22" t="s">
        <v>16</v>
      </c>
      <c r="C22">
        <f t="shared" si="6"/>
        <v>19</v>
      </c>
      <c r="D22">
        <f t="shared" si="7"/>
        <v>1.6754302550765701</v>
      </c>
      <c r="E22">
        <f t="shared" si="8"/>
        <v>1.73693022188642</v>
      </c>
      <c r="G22" t="s">
        <v>121</v>
      </c>
      <c r="H22">
        <f t="shared" si="0"/>
        <v>19</v>
      </c>
      <c r="I22">
        <f t="shared" si="1"/>
        <v>2.1301447386835299</v>
      </c>
      <c r="J22">
        <f t="shared" si="2"/>
        <v>2.0595029932448501</v>
      </c>
      <c r="L22" t="s">
        <v>180</v>
      </c>
      <c r="M22">
        <f t="shared" si="3"/>
        <v>19</v>
      </c>
      <c r="N22">
        <f t="shared" si="4"/>
        <v>2.9741294348498299</v>
      </c>
      <c r="O22">
        <f t="shared" si="5"/>
        <v>1.2642395204719801</v>
      </c>
      <c r="R22" s="33"/>
      <c r="S22" s="13"/>
      <c r="T22" s="13"/>
      <c r="U22" s="13"/>
      <c r="V22" s="13"/>
      <c r="W22" s="13"/>
      <c r="X22" s="13"/>
      <c r="Y22" s="13"/>
      <c r="Z22" s="36"/>
    </row>
    <row r="23" spans="2:26" x14ac:dyDescent="0.25">
      <c r="B23" t="s">
        <v>17</v>
      </c>
      <c r="C23">
        <f t="shared" si="6"/>
        <v>19</v>
      </c>
      <c r="D23">
        <f t="shared" si="7"/>
        <v>1.71821162129057</v>
      </c>
      <c r="E23">
        <f t="shared" si="8"/>
        <v>1.72950434199138</v>
      </c>
      <c r="G23" t="s">
        <v>122</v>
      </c>
      <c r="H23">
        <f t="shared" si="0"/>
        <v>19</v>
      </c>
      <c r="I23">
        <f t="shared" si="1"/>
        <v>2.17299807750768</v>
      </c>
      <c r="J23">
        <f t="shared" si="2"/>
        <v>2.0342279060308401</v>
      </c>
      <c r="L23" t="s">
        <v>181</v>
      </c>
      <c r="M23">
        <f t="shared" si="3"/>
        <v>18</v>
      </c>
      <c r="N23">
        <f t="shared" si="4"/>
        <v>3.3875231728606798</v>
      </c>
      <c r="O23">
        <f t="shared" si="5"/>
        <v>1.23200425848748</v>
      </c>
      <c r="R23" s="33"/>
      <c r="S23" s="13"/>
      <c r="T23" s="13"/>
      <c r="U23" s="13"/>
      <c r="V23" s="13"/>
      <c r="W23" s="13"/>
      <c r="X23" s="13"/>
      <c r="Y23" s="13"/>
      <c r="Z23" s="36"/>
    </row>
    <row r="24" spans="2:26" x14ac:dyDescent="0.25">
      <c r="B24" t="s">
        <v>18</v>
      </c>
      <c r="C24">
        <f t="shared" si="6"/>
        <v>19</v>
      </c>
      <c r="D24">
        <f t="shared" si="7"/>
        <v>1.7752647327304401</v>
      </c>
      <c r="E24">
        <f t="shared" si="8"/>
        <v>1.71680329314012</v>
      </c>
      <c r="G24" t="s">
        <v>123</v>
      </c>
      <c r="H24">
        <f t="shared" si="0"/>
        <v>18</v>
      </c>
      <c r="I24">
        <f t="shared" si="1"/>
        <v>2.3014310834916301</v>
      </c>
      <c r="J24">
        <f t="shared" si="2"/>
        <v>1.9899012455399401</v>
      </c>
      <c r="L24" t="s">
        <v>182</v>
      </c>
      <c r="M24">
        <f t="shared" si="3"/>
        <v>19</v>
      </c>
      <c r="N24">
        <f t="shared" si="4"/>
        <v>3.5158037662584198</v>
      </c>
      <c r="O24">
        <f t="shared" si="5"/>
        <v>1.2254759193779301</v>
      </c>
      <c r="R24" s="33"/>
      <c r="S24" s="13"/>
      <c r="T24" s="13"/>
      <c r="U24" s="13"/>
      <c r="V24" s="13"/>
      <c r="W24" s="13"/>
      <c r="X24" s="13"/>
      <c r="Y24" s="13"/>
      <c r="Z24" s="36"/>
    </row>
    <row r="25" spans="2:26" x14ac:dyDescent="0.25">
      <c r="B25" t="s">
        <v>19</v>
      </c>
      <c r="C25">
        <f t="shared" si="6"/>
        <v>19</v>
      </c>
      <c r="D25">
        <f t="shared" si="7"/>
        <v>1.8323178441703001</v>
      </c>
      <c r="E25">
        <f t="shared" si="8"/>
        <v>1.70410224428886</v>
      </c>
      <c r="G25" t="s">
        <v>124</v>
      </c>
      <c r="H25">
        <f t="shared" si="0"/>
        <v>18</v>
      </c>
      <c r="I25">
        <f t="shared" si="1"/>
        <v>2.41561351266447</v>
      </c>
      <c r="J25">
        <f t="shared" si="2"/>
        <v>1.94559998714674</v>
      </c>
      <c r="L25" t="s">
        <v>183</v>
      </c>
      <c r="M25">
        <f t="shared" si="3"/>
        <v>18</v>
      </c>
      <c r="N25">
        <f t="shared" si="4"/>
        <v>3.8151928897803402</v>
      </c>
      <c r="O25">
        <f t="shared" si="5"/>
        <v>1.1934438741750499</v>
      </c>
      <c r="R25" s="33"/>
      <c r="S25" s="13"/>
      <c r="T25" s="13"/>
      <c r="U25" s="13"/>
      <c r="V25" s="13"/>
      <c r="W25" s="13"/>
      <c r="X25" s="13"/>
      <c r="Y25" s="13"/>
      <c r="Z25" s="36"/>
    </row>
    <row r="26" spans="2:26" x14ac:dyDescent="0.25">
      <c r="B26" t="s">
        <v>20</v>
      </c>
      <c r="C26">
        <f t="shared" si="6"/>
        <v>18</v>
      </c>
      <c r="D26">
        <f t="shared" si="7"/>
        <v>1.8750949767013501</v>
      </c>
      <c r="E26">
        <f t="shared" si="8"/>
        <v>1.69772631776552</v>
      </c>
      <c r="G26" t="s">
        <v>125</v>
      </c>
      <c r="H26">
        <f t="shared" si="0"/>
        <v>18</v>
      </c>
      <c r="I26">
        <f t="shared" si="1"/>
        <v>2.44419087257981</v>
      </c>
      <c r="J26">
        <f t="shared" si="2"/>
        <v>1.92665002226065</v>
      </c>
      <c r="L26" t="s">
        <v>184</v>
      </c>
      <c r="M26">
        <f t="shared" si="3"/>
        <v>18</v>
      </c>
      <c r="N26">
        <f t="shared" si="4"/>
        <v>3.8722205991225098</v>
      </c>
      <c r="O26">
        <f t="shared" si="5"/>
        <v>1.1870425455540199</v>
      </c>
      <c r="R26" s="33"/>
      <c r="S26" s="13"/>
      <c r="T26" s="13"/>
      <c r="U26" s="13"/>
      <c r="V26" s="13"/>
      <c r="W26" s="13"/>
      <c r="X26" s="13"/>
      <c r="Y26" s="13"/>
      <c r="Z26" s="36"/>
    </row>
    <row r="27" spans="2:26" x14ac:dyDescent="0.25">
      <c r="B27" t="s">
        <v>21</v>
      </c>
      <c r="C27">
        <f t="shared" si="6"/>
        <v>17</v>
      </c>
      <c r="D27">
        <f t="shared" si="7"/>
        <v>1.9321480881412201</v>
      </c>
      <c r="E27">
        <f t="shared" si="8"/>
        <v>1.68502526891426</v>
      </c>
      <c r="G27" t="s">
        <v>126</v>
      </c>
      <c r="H27">
        <f t="shared" si="0"/>
        <v>19</v>
      </c>
      <c r="I27">
        <f t="shared" si="1"/>
        <v>2.6154518152902102</v>
      </c>
      <c r="J27">
        <f t="shared" si="2"/>
        <v>1.8633479947859699</v>
      </c>
      <c r="L27" t="s">
        <v>185</v>
      </c>
      <c r="M27">
        <f t="shared" si="3"/>
        <v>19</v>
      </c>
      <c r="N27">
        <f t="shared" si="4"/>
        <v>3.9720254409957199</v>
      </c>
      <c r="O27">
        <f t="shared" si="5"/>
        <v>1.17426529040965</v>
      </c>
      <c r="R27" s="33"/>
      <c r="S27" s="13"/>
      <c r="T27" s="13"/>
      <c r="U27" s="13"/>
      <c r="V27" s="13"/>
      <c r="W27" s="13"/>
      <c r="X27" s="13"/>
      <c r="Y27" s="13"/>
      <c r="Z27" s="36"/>
    </row>
    <row r="28" spans="2:26" x14ac:dyDescent="0.25">
      <c r="B28" t="s">
        <v>22</v>
      </c>
      <c r="C28">
        <f t="shared" si="6"/>
        <v>19</v>
      </c>
      <c r="D28">
        <f t="shared" si="7"/>
        <v>1.9892011995810801</v>
      </c>
      <c r="E28">
        <f t="shared" si="8"/>
        <v>1.672324220063</v>
      </c>
      <c r="G28" t="s">
        <v>127</v>
      </c>
      <c r="H28">
        <f t="shared" si="0"/>
        <v>19</v>
      </c>
      <c r="I28">
        <f t="shared" si="1"/>
        <v>2.6796556172333399</v>
      </c>
      <c r="J28">
        <f t="shared" si="2"/>
        <v>1.84433452465563</v>
      </c>
      <c r="L28" t="s">
        <v>186</v>
      </c>
      <c r="M28">
        <f t="shared" si="3"/>
        <v>18</v>
      </c>
      <c r="N28">
        <f t="shared" si="4"/>
        <v>4.1146328174976796</v>
      </c>
      <c r="O28">
        <f t="shared" si="5"/>
        <v>1.1488123885117201</v>
      </c>
      <c r="R28" s="33"/>
      <c r="S28" s="13"/>
      <c r="T28" s="13"/>
      <c r="U28" s="13"/>
      <c r="V28" s="13"/>
      <c r="W28" s="13"/>
      <c r="X28" s="13"/>
      <c r="Y28" s="13"/>
      <c r="Z28" s="36"/>
    </row>
    <row r="29" spans="2:26" x14ac:dyDescent="0.25">
      <c r="B29" t="s">
        <v>23</v>
      </c>
      <c r="C29">
        <f t="shared" si="6"/>
        <v>18</v>
      </c>
      <c r="D29">
        <f t="shared" si="7"/>
        <v>2.0319783321121299</v>
      </c>
      <c r="E29">
        <f t="shared" si="8"/>
        <v>1.6659482935396701</v>
      </c>
      <c r="G29" t="s">
        <v>128</v>
      </c>
      <c r="H29">
        <f t="shared" si="0"/>
        <v>19</v>
      </c>
      <c r="I29">
        <f t="shared" si="1"/>
        <v>2.7510101096797199</v>
      </c>
      <c r="J29">
        <f t="shared" si="2"/>
        <v>1.8190086332462201</v>
      </c>
      <c r="L29" t="s">
        <v>187</v>
      </c>
      <c r="M29">
        <f t="shared" si="3"/>
        <v>18</v>
      </c>
      <c r="N29">
        <f t="shared" si="4"/>
        <v>4.15740995002872</v>
      </c>
      <c r="O29">
        <f t="shared" si="5"/>
        <v>1.14243646198839</v>
      </c>
      <c r="R29" s="33"/>
      <c r="S29" s="13"/>
      <c r="T29" s="13"/>
      <c r="U29" s="13"/>
      <c r="V29" s="16" t="s">
        <v>263</v>
      </c>
      <c r="W29" s="16" t="s">
        <v>269</v>
      </c>
      <c r="X29" s="16" t="s">
        <v>268</v>
      </c>
      <c r="Y29" s="13"/>
      <c r="Z29" s="36"/>
    </row>
    <row r="30" spans="2:26" x14ac:dyDescent="0.25">
      <c r="B30" t="s">
        <v>24</v>
      </c>
      <c r="C30">
        <f t="shared" si="6"/>
        <v>18</v>
      </c>
      <c r="D30">
        <f t="shared" si="7"/>
        <v>2.0890314435519901</v>
      </c>
      <c r="E30">
        <f t="shared" si="8"/>
        <v>1.6532472446884099</v>
      </c>
      <c r="G30" t="s">
        <v>129</v>
      </c>
      <c r="H30">
        <f t="shared" si="0"/>
        <v>19</v>
      </c>
      <c r="I30">
        <f t="shared" si="1"/>
        <v>2.92937093869799</v>
      </c>
      <c r="J30">
        <f t="shared" si="2"/>
        <v>1.76199362495291</v>
      </c>
      <c r="L30" t="s">
        <v>188</v>
      </c>
      <c r="M30">
        <f t="shared" si="3"/>
        <v>18</v>
      </c>
      <c r="N30">
        <f t="shared" si="4"/>
        <v>4.2429642150908196</v>
      </c>
      <c r="O30">
        <f t="shared" si="5"/>
        <v>1.1296846089417201</v>
      </c>
      <c r="R30" s="33"/>
      <c r="S30" s="13"/>
      <c r="T30" s="13"/>
      <c r="U30" s="16" t="s">
        <v>250</v>
      </c>
      <c r="V30" s="13">
        <v>9.7000000000000003E-3</v>
      </c>
      <c r="W30" s="13">
        <v>-1.89E-2</v>
      </c>
      <c r="X30" s="13">
        <v>5.57E-2</v>
      </c>
      <c r="Y30" s="13"/>
      <c r="Z30" s="36"/>
    </row>
    <row r="31" spans="2:26" x14ac:dyDescent="0.25">
      <c r="B31" t="s">
        <v>25</v>
      </c>
      <c r="C31">
        <f t="shared" si="6"/>
        <v>19</v>
      </c>
      <c r="D31">
        <f t="shared" si="7"/>
        <v>2.13894656553745</v>
      </c>
      <c r="E31">
        <f t="shared" si="8"/>
        <v>1.64370875700111</v>
      </c>
      <c r="G31" t="s">
        <v>130</v>
      </c>
      <c r="H31">
        <f t="shared" si="0"/>
        <v>19</v>
      </c>
      <c r="I31">
        <f t="shared" si="1"/>
        <v>2.98647485433326</v>
      </c>
      <c r="J31">
        <f t="shared" si="2"/>
        <v>1.7366931356411901</v>
      </c>
      <c r="L31" t="s">
        <v>189</v>
      </c>
      <c r="M31">
        <f t="shared" si="3"/>
        <v>18</v>
      </c>
      <c r="N31">
        <f t="shared" si="4"/>
        <v>4.3285184801529102</v>
      </c>
      <c r="O31">
        <f t="shared" si="5"/>
        <v>1.1169327558950499</v>
      </c>
      <c r="R31" s="33"/>
      <c r="S31" s="13"/>
      <c r="T31" s="13"/>
      <c r="U31" s="16" t="s">
        <v>251</v>
      </c>
      <c r="V31" s="13">
        <v>-0.23719999999999999</v>
      </c>
      <c r="W31" s="13">
        <v>2.69E-2</v>
      </c>
      <c r="X31" s="13">
        <v>-0.64700000000000002</v>
      </c>
      <c r="Y31" s="13"/>
      <c r="Z31" s="36"/>
    </row>
    <row r="32" spans="2:26" x14ac:dyDescent="0.25">
      <c r="B32" t="s">
        <v>26</v>
      </c>
      <c r="C32">
        <f t="shared" si="6"/>
        <v>19</v>
      </c>
      <c r="D32">
        <f t="shared" si="7"/>
        <v>2.1888616875229099</v>
      </c>
      <c r="E32">
        <f t="shared" si="8"/>
        <v>1.63417026931381</v>
      </c>
      <c r="G32" t="s">
        <v>131</v>
      </c>
      <c r="H32">
        <f t="shared" si="0"/>
        <v>18</v>
      </c>
      <c r="I32">
        <f t="shared" si="1"/>
        <v>3.0292519868643</v>
      </c>
      <c r="J32">
        <f t="shared" si="2"/>
        <v>1.73031720911786</v>
      </c>
      <c r="L32" t="s">
        <v>190</v>
      </c>
      <c r="M32">
        <f t="shared" si="3"/>
        <v>18</v>
      </c>
      <c r="N32">
        <f t="shared" si="4"/>
        <v>4.3712956126839604</v>
      </c>
      <c r="O32">
        <f t="shared" si="5"/>
        <v>1.1105568293717201</v>
      </c>
      <c r="R32" s="33"/>
      <c r="S32" s="13"/>
      <c r="T32" s="13"/>
      <c r="U32" s="16" t="s">
        <v>252</v>
      </c>
      <c r="V32" s="13">
        <v>2.1076999999999999</v>
      </c>
      <c r="W32" s="13">
        <v>1.3516999999999999</v>
      </c>
      <c r="X32" s="13">
        <v>3.1806999999999999</v>
      </c>
      <c r="Y32" s="13"/>
      <c r="Z32" s="36"/>
    </row>
    <row r="33" spans="2:26" x14ac:dyDescent="0.25">
      <c r="B33" t="s">
        <v>27</v>
      </c>
      <c r="C33">
        <f t="shared" si="6"/>
        <v>19</v>
      </c>
      <c r="D33">
        <f t="shared" si="7"/>
        <v>2.2316515211027999</v>
      </c>
      <c r="E33">
        <f t="shared" si="8"/>
        <v>1.6246444826753701</v>
      </c>
      <c r="G33" t="s">
        <v>132</v>
      </c>
      <c r="H33">
        <f t="shared" si="0"/>
        <v>18</v>
      </c>
      <c r="I33">
        <f t="shared" si="1"/>
        <v>3.0863559024995699</v>
      </c>
      <c r="J33">
        <f t="shared" si="2"/>
        <v>1.7050167198061501</v>
      </c>
      <c r="L33" t="s">
        <v>191</v>
      </c>
      <c r="M33">
        <f t="shared" si="3"/>
        <v>18</v>
      </c>
      <c r="N33">
        <f t="shared" si="4"/>
        <v>4.4853764334659898</v>
      </c>
      <c r="O33">
        <f t="shared" si="5"/>
        <v>1.09145445189942</v>
      </c>
      <c r="R33" s="33"/>
      <c r="S33" s="13"/>
      <c r="T33" s="13"/>
      <c r="U33" s="13"/>
      <c r="V33" s="13"/>
      <c r="W33" s="13"/>
      <c r="X33" s="13"/>
      <c r="Y33" s="13"/>
      <c r="Z33" s="36"/>
    </row>
    <row r="34" spans="2:26" x14ac:dyDescent="0.25">
      <c r="B34" t="s">
        <v>28</v>
      </c>
      <c r="C34">
        <f t="shared" si="6"/>
        <v>19</v>
      </c>
      <c r="D34">
        <f t="shared" si="7"/>
        <v>2.2886919314938199</v>
      </c>
      <c r="E34">
        <f t="shared" si="8"/>
        <v>1.61509329393922</v>
      </c>
      <c r="G34" t="s">
        <v>133</v>
      </c>
      <c r="H34">
        <f t="shared" si="0"/>
        <v>19</v>
      </c>
      <c r="I34">
        <f t="shared" si="1"/>
        <v>3.1291457360794701</v>
      </c>
      <c r="J34">
        <f t="shared" si="2"/>
        <v>1.6954909331676999</v>
      </c>
      <c r="L34" t="s">
        <v>192</v>
      </c>
      <c r="M34">
        <f t="shared" si="3"/>
        <v>18</v>
      </c>
      <c r="N34">
        <f t="shared" si="4"/>
        <v>4.5566801217169699</v>
      </c>
      <c r="O34">
        <f t="shared" si="5"/>
        <v>1.0787280009504601</v>
      </c>
      <c r="R34" s="33"/>
      <c r="S34" s="16" t="s">
        <v>4</v>
      </c>
      <c r="T34" s="16" t="s">
        <v>271</v>
      </c>
      <c r="U34" s="13"/>
      <c r="V34" s="13"/>
      <c r="W34" s="13"/>
      <c r="X34" s="13"/>
      <c r="Y34" s="13"/>
      <c r="Z34" s="36"/>
    </row>
    <row r="35" spans="2:26" x14ac:dyDescent="0.25">
      <c r="B35" t="s">
        <v>29</v>
      </c>
      <c r="C35">
        <f t="shared" si="6"/>
        <v>19</v>
      </c>
      <c r="D35">
        <f t="shared" si="7"/>
        <v>2.3457450429336801</v>
      </c>
      <c r="E35">
        <f t="shared" si="8"/>
        <v>1.60239224508796</v>
      </c>
      <c r="G35" t="s">
        <v>134</v>
      </c>
      <c r="H35">
        <f t="shared" si="0"/>
        <v>18</v>
      </c>
      <c r="I35">
        <f t="shared" si="1"/>
        <v>3.1719355696593698</v>
      </c>
      <c r="J35">
        <f t="shared" si="2"/>
        <v>1.68596514652926</v>
      </c>
      <c r="L35" t="s">
        <v>193</v>
      </c>
      <c r="M35">
        <f t="shared" si="3"/>
        <v>18</v>
      </c>
      <c r="N35">
        <f t="shared" si="4"/>
        <v>4.5994445531991701</v>
      </c>
      <c r="O35">
        <f t="shared" si="5"/>
        <v>1.0755019345422401</v>
      </c>
      <c r="R35" s="33"/>
      <c r="S35" s="13">
        <v>30</v>
      </c>
      <c r="T35" s="13">
        <f>S35/60</f>
        <v>0.5</v>
      </c>
      <c r="U35" s="13"/>
      <c r="V35" s="41">
        <f>V$30*$T$35^2+V$31*$T$35+V$32</f>
        <v>1.991525</v>
      </c>
      <c r="W35" s="41">
        <f>W$30*$T$35^2+W$31*$T$35+W$32</f>
        <v>1.360425</v>
      </c>
      <c r="X35" s="41">
        <f>X$30*$T$35^2+X$31*$T$35+X$32</f>
        <v>2.8711249999999997</v>
      </c>
      <c r="Y35" s="13"/>
      <c r="Z35" s="36"/>
    </row>
    <row r="36" spans="2:26" ht="15.75" thickBot="1" x14ac:dyDescent="0.3">
      <c r="B36" t="s">
        <v>30</v>
      </c>
      <c r="C36">
        <f t="shared" si="6"/>
        <v>18</v>
      </c>
      <c r="D36">
        <f t="shared" si="7"/>
        <v>2.3885221754647299</v>
      </c>
      <c r="E36">
        <f t="shared" si="8"/>
        <v>1.5960163185646199</v>
      </c>
      <c r="G36" t="s">
        <v>135</v>
      </c>
      <c r="H36">
        <f t="shared" si="0"/>
        <v>18</v>
      </c>
      <c r="I36">
        <f t="shared" si="1"/>
        <v>3.21475080533697</v>
      </c>
      <c r="J36">
        <f t="shared" si="2"/>
        <v>1.6701396396605801</v>
      </c>
      <c r="L36" t="s">
        <v>194</v>
      </c>
      <c r="M36">
        <f t="shared" si="3"/>
        <v>18</v>
      </c>
      <c r="N36">
        <f t="shared" si="4"/>
        <v>4.6707482414501502</v>
      </c>
      <c r="O36">
        <f t="shared" si="5"/>
        <v>1.0627754835932799</v>
      </c>
      <c r="R36" s="38"/>
      <c r="S36" s="39">
        <v>270</v>
      </c>
      <c r="T36" s="39">
        <f>S36/60</f>
        <v>4.5</v>
      </c>
      <c r="U36" s="39"/>
      <c r="V36" s="42">
        <f>V$30*$T$36^2+V$31*$T$36+V$32</f>
        <v>1.2367250000000001</v>
      </c>
      <c r="W36" s="42">
        <f>W$30*$T$36^2+W$31*$T$36+W$32</f>
        <v>1.0900249999999998</v>
      </c>
      <c r="X36" s="42">
        <f>X$30*$T$36^2+X$31*$T$36+X$32</f>
        <v>1.3971249999999997</v>
      </c>
      <c r="Y36" s="39"/>
      <c r="Z36" s="40"/>
    </row>
    <row r="37" spans="2:26" x14ac:dyDescent="0.25">
      <c r="B37" t="s">
        <v>31</v>
      </c>
      <c r="C37">
        <f t="shared" si="6"/>
        <v>19</v>
      </c>
      <c r="D37">
        <f t="shared" si="7"/>
        <v>2.4455752869045999</v>
      </c>
      <c r="E37">
        <f t="shared" si="8"/>
        <v>1.5833152697133599</v>
      </c>
      <c r="G37" t="s">
        <v>136</v>
      </c>
      <c r="H37">
        <f t="shared" si="0"/>
        <v>18</v>
      </c>
      <c r="I37">
        <f t="shared" si="1"/>
        <v>3.2575660410145701</v>
      </c>
      <c r="J37">
        <f t="shared" si="2"/>
        <v>1.65431413279191</v>
      </c>
      <c r="L37" t="s">
        <v>195</v>
      </c>
      <c r="M37">
        <f t="shared" si="3"/>
        <v>18</v>
      </c>
      <c r="N37">
        <f t="shared" si="4"/>
        <v>4.7848163611833199</v>
      </c>
      <c r="O37">
        <f t="shared" si="5"/>
        <v>1.0468229662360899</v>
      </c>
    </row>
    <row r="38" spans="2:26" x14ac:dyDescent="0.25">
      <c r="B38" t="s">
        <v>32</v>
      </c>
      <c r="C38">
        <f t="shared" si="6"/>
        <v>19</v>
      </c>
      <c r="D38">
        <f t="shared" si="7"/>
        <v>2.4883524194356399</v>
      </c>
      <c r="E38">
        <f t="shared" si="8"/>
        <v>1.57693934319003</v>
      </c>
      <c r="G38" t="s">
        <v>137</v>
      </c>
      <c r="H38">
        <f t="shared" si="0"/>
        <v>19</v>
      </c>
      <c r="I38">
        <f t="shared" si="1"/>
        <v>3.3003558745944699</v>
      </c>
      <c r="J38">
        <f t="shared" si="2"/>
        <v>1.64478834615347</v>
      </c>
      <c r="L38" t="s">
        <v>196</v>
      </c>
      <c r="M38">
        <f t="shared" si="3"/>
        <v>17</v>
      </c>
      <c r="N38">
        <f t="shared" si="4"/>
        <v>4.9274364387341398</v>
      </c>
      <c r="O38">
        <f t="shared" si="5"/>
        <v>1.0182202042230499</v>
      </c>
    </row>
    <row r="39" spans="2:26" x14ac:dyDescent="0.25">
      <c r="B39" t="s">
        <v>33</v>
      </c>
      <c r="C39">
        <f t="shared" si="6"/>
        <v>19</v>
      </c>
      <c r="D39">
        <f t="shared" si="7"/>
        <v>2.5311422530155401</v>
      </c>
      <c r="E39">
        <f t="shared" si="8"/>
        <v>1.5674135565515801</v>
      </c>
      <c r="G39" t="s">
        <v>138</v>
      </c>
      <c r="H39">
        <f t="shared" si="0"/>
        <v>19</v>
      </c>
      <c r="I39">
        <f t="shared" si="1"/>
        <v>3.3716722638943</v>
      </c>
      <c r="J39">
        <f t="shared" si="2"/>
        <v>1.62891203508939</v>
      </c>
      <c r="L39" t="s">
        <v>197</v>
      </c>
      <c r="M39">
        <f t="shared" si="3"/>
        <v>18</v>
      </c>
      <c r="N39">
        <f t="shared" si="4"/>
        <v>5.0985830720048799</v>
      </c>
      <c r="O39">
        <f t="shared" si="5"/>
        <v>0.98326691778438502</v>
      </c>
    </row>
    <row r="40" spans="2:26" x14ac:dyDescent="0.25">
      <c r="B40" t="s">
        <v>34</v>
      </c>
      <c r="C40">
        <f t="shared" si="6"/>
        <v>18</v>
      </c>
      <c r="D40">
        <f t="shared" si="7"/>
        <v>2.5881826634065601</v>
      </c>
      <c r="E40">
        <f t="shared" si="8"/>
        <v>1.55786236781544</v>
      </c>
      <c r="G40" t="s">
        <v>139</v>
      </c>
      <c r="H40">
        <f t="shared" si="0"/>
        <v>18</v>
      </c>
      <c r="I40">
        <f t="shared" si="1"/>
        <v>3.4287571279562998</v>
      </c>
      <c r="J40">
        <f t="shared" si="2"/>
        <v>1.60833633595035</v>
      </c>
      <c r="L40" t="s">
        <v>198</v>
      </c>
      <c r="M40">
        <f t="shared" si="3"/>
        <v>18</v>
      </c>
      <c r="N40">
        <f t="shared" si="4"/>
        <v>5.2411904485068401</v>
      </c>
      <c r="O40">
        <f t="shared" si="5"/>
        <v>0.95781401588645798</v>
      </c>
    </row>
    <row r="41" spans="2:26" x14ac:dyDescent="0.25">
      <c r="B41" t="s">
        <v>35</v>
      </c>
      <c r="C41">
        <f t="shared" si="6"/>
        <v>18</v>
      </c>
      <c r="D41">
        <f t="shared" si="7"/>
        <v>2.6380977853920098</v>
      </c>
      <c r="E41">
        <f t="shared" si="8"/>
        <v>1.54832388012814</v>
      </c>
      <c r="G41" t="s">
        <v>140</v>
      </c>
      <c r="H41">
        <f t="shared" si="0"/>
        <v>19</v>
      </c>
      <c r="I41">
        <f t="shared" si="1"/>
        <v>3.5286127740249098</v>
      </c>
      <c r="J41">
        <f t="shared" si="2"/>
        <v>1.5829596403455299</v>
      </c>
      <c r="L41" t="s">
        <v>199</v>
      </c>
      <c r="M41">
        <f t="shared" si="3"/>
        <v>18</v>
      </c>
      <c r="N41">
        <f t="shared" si="4"/>
        <v>5.3124687346601203</v>
      </c>
      <c r="O41">
        <f t="shared" si="5"/>
        <v>0.95138728516771998</v>
      </c>
    </row>
    <row r="42" spans="2:26" x14ac:dyDescent="0.25">
      <c r="B42" t="s">
        <v>36</v>
      </c>
      <c r="C42">
        <f t="shared" si="6"/>
        <v>19</v>
      </c>
      <c r="D42">
        <f t="shared" si="7"/>
        <v>2.6880129073774701</v>
      </c>
      <c r="E42">
        <f t="shared" si="8"/>
        <v>1.5387853924408399</v>
      </c>
      <c r="G42" t="s">
        <v>141</v>
      </c>
      <c r="H42">
        <f t="shared" si="0"/>
        <v>18</v>
      </c>
      <c r="I42">
        <f t="shared" si="1"/>
        <v>3.5999355138491702</v>
      </c>
      <c r="J42">
        <f t="shared" si="2"/>
        <v>1.5655083992238901</v>
      </c>
      <c r="L42" t="s">
        <v>200</v>
      </c>
      <c r="M42">
        <f t="shared" si="3"/>
        <v>18</v>
      </c>
      <c r="N42">
        <f t="shared" si="4"/>
        <v>5.4551015132597804</v>
      </c>
      <c r="O42">
        <f t="shared" si="5"/>
        <v>0.91963466303956698</v>
      </c>
    </row>
    <row r="43" spans="2:26" x14ac:dyDescent="0.25">
      <c r="B43" t="s">
        <v>37</v>
      </c>
      <c r="C43">
        <f t="shared" si="6"/>
        <v>18</v>
      </c>
      <c r="D43">
        <f t="shared" si="7"/>
        <v>2.7593165956284502</v>
      </c>
      <c r="E43">
        <f t="shared" si="8"/>
        <v>1.5260589414918799</v>
      </c>
      <c r="G43" t="s">
        <v>142</v>
      </c>
      <c r="H43">
        <f t="shared" ref="H43:H74" si="9">FIND(",",G43)</f>
        <v>19</v>
      </c>
      <c r="I43">
        <f t="shared" ref="I43:I74" si="10">_xlfn.NUMBERVALUE(LEFT(G43,H43-1))</f>
        <v>3.65697592424018</v>
      </c>
      <c r="J43">
        <f t="shared" ref="J43:J67" si="11">_xlfn.NUMBERVALUE(RIGHT(G43,LEN(G43)-H43))</f>
        <v>1.5559572104877499</v>
      </c>
      <c r="L43" t="s">
        <v>201</v>
      </c>
      <c r="M43">
        <f t="shared" si="3"/>
        <v>19</v>
      </c>
      <c r="N43">
        <f t="shared" si="4"/>
        <v>5.5263797994130597</v>
      </c>
      <c r="O43">
        <f t="shared" si="5"/>
        <v>0.91320793232082798</v>
      </c>
    </row>
    <row r="44" spans="2:26" x14ac:dyDescent="0.25">
      <c r="B44" t="s">
        <v>38</v>
      </c>
      <c r="C44">
        <f t="shared" si="6"/>
        <v>18</v>
      </c>
      <c r="D44">
        <f t="shared" si="7"/>
        <v>2.8092317176139101</v>
      </c>
      <c r="E44">
        <f t="shared" si="8"/>
        <v>1.51652045380458</v>
      </c>
      <c r="G44" t="s">
        <v>143</v>
      </c>
      <c r="H44">
        <f t="shared" si="9"/>
        <v>19</v>
      </c>
      <c r="I44">
        <f t="shared" si="10"/>
        <v>3.81389738279751</v>
      </c>
      <c r="J44">
        <f t="shared" si="11"/>
        <v>1.51472960591655</v>
      </c>
      <c r="L44" t="s">
        <v>202</v>
      </c>
      <c r="M44">
        <f t="shared" si="3"/>
        <v>18</v>
      </c>
      <c r="N44">
        <f t="shared" si="4"/>
        <v>5.5977088897617397</v>
      </c>
      <c r="O44">
        <f t="shared" si="5"/>
        <v>0.89418176114164005</v>
      </c>
    </row>
    <row r="45" spans="2:26" x14ac:dyDescent="0.25">
      <c r="B45" t="s">
        <v>39</v>
      </c>
      <c r="C45">
        <f t="shared" si="6"/>
        <v>19</v>
      </c>
      <c r="D45">
        <f t="shared" si="7"/>
        <v>2.8591468395993598</v>
      </c>
      <c r="E45">
        <f t="shared" si="8"/>
        <v>1.5069819661172801</v>
      </c>
      <c r="G45" t="s">
        <v>144</v>
      </c>
      <c r="H45">
        <f t="shared" si="9"/>
        <v>18</v>
      </c>
      <c r="I45">
        <f t="shared" si="10"/>
        <v>3.87093779318853</v>
      </c>
      <c r="J45">
        <f t="shared" si="11"/>
        <v>1.5051784171803999</v>
      </c>
      <c r="L45" t="s">
        <v>203</v>
      </c>
      <c r="M45">
        <f t="shared" si="3"/>
        <v>18</v>
      </c>
      <c r="N45">
        <f t="shared" si="4"/>
        <v>5.6689998769638699</v>
      </c>
      <c r="O45">
        <f t="shared" si="5"/>
        <v>0.88460517030778796</v>
      </c>
    </row>
    <row r="46" spans="2:26" x14ac:dyDescent="0.25">
      <c r="B46" t="s">
        <v>40</v>
      </c>
      <c r="C46">
        <f t="shared" si="6"/>
        <v>19</v>
      </c>
      <c r="D46">
        <f t="shared" si="7"/>
        <v>2.90192397213041</v>
      </c>
      <c r="E46">
        <f t="shared" si="8"/>
        <v>1.50060603959395</v>
      </c>
      <c r="G46" t="s">
        <v>145</v>
      </c>
      <c r="H46">
        <f t="shared" si="9"/>
        <v>19</v>
      </c>
      <c r="I46">
        <f t="shared" si="10"/>
        <v>4.0705982811303496</v>
      </c>
      <c r="J46">
        <f t="shared" si="11"/>
        <v>1.46702446643122</v>
      </c>
      <c r="L46" t="s">
        <v>204</v>
      </c>
      <c r="M46">
        <f t="shared" si="3"/>
        <v>19</v>
      </c>
      <c r="N46">
        <f t="shared" si="4"/>
        <v>5.74030356521485</v>
      </c>
      <c r="O46">
        <f t="shared" si="5"/>
        <v>0.87187871935882499</v>
      </c>
    </row>
    <row r="47" spans="2:26" x14ac:dyDescent="0.25">
      <c r="B47" t="s">
        <v>41</v>
      </c>
      <c r="C47">
        <f t="shared" si="6"/>
        <v>18</v>
      </c>
      <c r="D47">
        <f t="shared" si="7"/>
        <v>2.9518390941158699</v>
      </c>
      <c r="E47">
        <f t="shared" si="8"/>
        <v>1.4910675519066501</v>
      </c>
      <c r="G47" t="s">
        <v>146</v>
      </c>
      <c r="H47">
        <f t="shared" si="9"/>
        <v>18</v>
      </c>
      <c r="I47">
        <f t="shared" si="10"/>
        <v>4.1418892683324797</v>
      </c>
      <c r="J47">
        <f t="shared" si="11"/>
        <v>1.4574478755973601</v>
      </c>
      <c r="L47" t="s">
        <v>205</v>
      </c>
      <c r="M47">
        <f t="shared" si="3"/>
        <v>18</v>
      </c>
      <c r="N47">
        <f t="shared" si="4"/>
        <v>5.8116199545146801</v>
      </c>
      <c r="O47">
        <f t="shared" si="5"/>
        <v>0.85600240829474805</v>
      </c>
    </row>
    <row r="48" spans="2:26" x14ac:dyDescent="0.25">
      <c r="B48" t="s">
        <v>42</v>
      </c>
      <c r="C48">
        <f t="shared" si="6"/>
        <v>19</v>
      </c>
      <c r="D48">
        <f t="shared" si="7"/>
        <v>3.00175421610132</v>
      </c>
      <c r="E48">
        <f t="shared" si="8"/>
        <v>1.4815290642193599</v>
      </c>
      <c r="G48" t="s">
        <v>147</v>
      </c>
      <c r="H48">
        <f t="shared" si="9"/>
        <v>18</v>
      </c>
      <c r="I48">
        <f t="shared" si="10"/>
        <v>4.1846791019123799</v>
      </c>
      <c r="J48">
        <f t="shared" si="11"/>
        <v>1.4479220889589199</v>
      </c>
      <c r="L48" t="s">
        <v>206</v>
      </c>
      <c r="M48">
        <f t="shared" si="3"/>
        <v>18</v>
      </c>
      <c r="N48">
        <f t="shared" si="4"/>
        <v>5.9256880742478604</v>
      </c>
      <c r="O48">
        <f t="shared" si="5"/>
        <v>0.84004989093756399</v>
      </c>
    </row>
    <row r="49" spans="2:15" x14ac:dyDescent="0.25">
      <c r="B49" t="s">
        <v>43</v>
      </c>
      <c r="C49">
        <f t="shared" si="6"/>
        <v>18</v>
      </c>
      <c r="D49">
        <f t="shared" si="7"/>
        <v>3.0445313486323702</v>
      </c>
      <c r="E49">
        <f t="shared" si="8"/>
        <v>1.4751531376960201</v>
      </c>
      <c r="G49" t="s">
        <v>148</v>
      </c>
      <c r="H49">
        <f t="shared" si="9"/>
        <v>19</v>
      </c>
      <c r="I49">
        <f t="shared" si="10"/>
        <v>4.3985774656164702</v>
      </c>
      <c r="J49">
        <f t="shared" si="11"/>
        <v>1.4128925962271399</v>
      </c>
      <c r="L49" t="s">
        <v>207</v>
      </c>
      <c r="M49">
        <f t="shared" si="3"/>
        <v>18</v>
      </c>
      <c r="N49">
        <f t="shared" si="4"/>
        <v>6.0397815960787398</v>
      </c>
      <c r="O49">
        <f t="shared" si="5"/>
        <v>0.81779765335015497</v>
      </c>
    </row>
    <row r="50" spans="2:15" x14ac:dyDescent="0.25">
      <c r="B50" t="s">
        <v>44</v>
      </c>
      <c r="C50">
        <f t="shared" si="6"/>
        <v>18</v>
      </c>
      <c r="D50">
        <f t="shared" si="7"/>
        <v>3.1158350368833498</v>
      </c>
      <c r="E50">
        <f t="shared" si="8"/>
        <v>1.4624266867470599</v>
      </c>
      <c r="G50" t="s">
        <v>149</v>
      </c>
      <c r="H50">
        <f t="shared" si="9"/>
        <v>18</v>
      </c>
      <c r="I50">
        <f t="shared" si="10"/>
        <v>4.4413291960498196</v>
      </c>
      <c r="J50">
        <f t="shared" si="11"/>
        <v>1.41281638993403</v>
      </c>
      <c r="L50" t="s">
        <v>208</v>
      </c>
      <c r="M50">
        <f t="shared" si="3"/>
        <v>18</v>
      </c>
      <c r="N50">
        <f t="shared" si="4"/>
        <v>6.1538497158119103</v>
      </c>
      <c r="O50">
        <f t="shared" si="5"/>
        <v>0.80184513599297103</v>
      </c>
    </row>
    <row r="51" spans="2:15" x14ac:dyDescent="0.25">
      <c r="B51" t="s">
        <v>45</v>
      </c>
      <c r="C51">
        <f t="shared" si="6"/>
        <v>18</v>
      </c>
      <c r="D51">
        <f t="shared" si="7"/>
        <v>3.1657501588688102</v>
      </c>
      <c r="E51">
        <f t="shared" si="8"/>
        <v>1.45288819905976</v>
      </c>
      <c r="G51" t="s">
        <v>150</v>
      </c>
      <c r="H51">
        <f t="shared" si="9"/>
        <v>19</v>
      </c>
      <c r="I51">
        <f t="shared" si="10"/>
        <v>4.4983823074896803</v>
      </c>
      <c r="J51">
        <f t="shared" si="11"/>
        <v>1.40011534108277</v>
      </c>
      <c r="L51" t="s">
        <v>209</v>
      </c>
      <c r="M51">
        <f t="shared" si="3"/>
        <v>18</v>
      </c>
      <c r="N51">
        <f t="shared" si="4"/>
        <v>6.2679178355450897</v>
      </c>
      <c r="O51">
        <f t="shared" si="5"/>
        <v>0.78589261863578697</v>
      </c>
    </row>
    <row r="52" spans="2:15" x14ac:dyDescent="0.25">
      <c r="B52" t="s">
        <v>46</v>
      </c>
      <c r="C52">
        <f t="shared" si="6"/>
        <v>19</v>
      </c>
      <c r="D52">
        <f t="shared" si="7"/>
        <v>3.2014020029942998</v>
      </c>
      <c r="E52">
        <f t="shared" si="8"/>
        <v>1.4465249735852801</v>
      </c>
      <c r="G52" t="s">
        <v>151</v>
      </c>
      <c r="H52">
        <f t="shared" si="9"/>
        <v>18</v>
      </c>
      <c r="I52">
        <f t="shared" si="10"/>
        <v>4.5981617472651903</v>
      </c>
      <c r="J52">
        <f t="shared" si="11"/>
        <v>1.3936378061686301</v>
      </c>
      <c r="L52" t="s">
        <v>210</v>
      </c>
      <c r="M52">
        <f t="shared" si="3"/>
        <v>18</v>
      </c>
      <c r="N52">
        <f t="shared" si="4"/>
        <v>6.3106949680761399</v>
      </c>
      <c r="O52">
        <f t="shared" si="5"/>
        <v>0.779516692112454</v>
      </c>
    </row>
    <row r="53" spans="2:15" x14ac:dyDescent="0.25">
      <c r="B53" t="s">
        <v>47</v>
      </c>
      <c r="C53">
        <f t="shared" si="6"/>
        <v>19</v>
      </c>
      <c r="D53">
        <f t="shared" si="7"/>
        <v>3.25844241338531</v>
      </c>
      <c r="E53">
        <f t="shared" si="8"/>
        <v>1.43697378484913</v>
      </c>
      <c r="G53" t="s">
        <v>152</v>
      </c>
      <c r="H53">
        <f t="shared" si="9"/>
        <v>18</v>
      </c>
      <c r="I53">
        <f t="shared" si="10"/>
        <v>4.71221716594951</v>
      </c>
      <c r="J53">
        <f t="shared" si="11"/>
        <v>1.38083514892656</v>
      </c>
      <c r="L53" t="s">
        <v>211</v>
      </c>
      <c r="M53">
        <f t="shared" si="3"/>
        <v>19</v>
      </c>
      <c r="N53">
        <f t="shared" si="4"/>
        <v>6.4247757888581596</v>
      </c>
      <c r="O53">
        <f t="shared" si="5"/>
        <v>0.76041431464015696</v>
      </c>
    </row>
    <row r="54" spans="2:15" x14ac:dyDescent="0.25">
      <c r="B54" t="s">
        <v>48</v>
      </c>
      <c r="C54">
        <f t="shared" si="6"/>
        <v>19</v>
      </c>
      <c r="D54">
        <f t="shared" si="7"/>
        <v>3.3297461016362901</v>
      </c>
      <c r="E54">
        <f t="shared" si="8"/>
        <v>1.42424733390017</v>
      </c>
      <c r="G54" t="s">
        <v>153</v>
      </c>
      <c r="H54">
        <f t="shared" si="9"/>
        <v>18</v>
      </c>
      <c r="I54">
        <f t="shared" si="10"/>
        <v>4.7835208542004901</v>
      </c>
      <c r="J54">
        <f t="shared" si="11"/>
        <v>1.36810869797759</v>
      </c>
      <c r="L54" t="s">
        <v>212</v>
      </c>
      <c r="M54">
        <f t="shared" si="3"/>
        <v>18</v>
      </c>
      <c r="N54">
        <f t="shared" si="4"/>
        <v>6.4675529213892098</v>
      </c>
      <c r="O54">
        <f t="shared" si="5"/>
        <v>0.754038388116824</v>
      </c>
    </row>
    <row r="55" spans="2:15" x14ac:dyDescent="0.25">
      <c r="B55" t="s">
        <v>49</v>
      </c>
      <c r="C55">
        <f t="shared" si="6"/>
        <v>18</v>
      </c>
      <c r="D55">
        <f t="shared" si="7"/>
        <v>3.3725232341673399</v>
      </c>
      <c r="E55">
        <f t="shared" si="8"/>
        <v>1.4178714073768399</v>
      </c>
      <c r="G55" t="s">
        <v>154</v>
      </c>
      <c r="H55">
        <f t="shared" si="9"/>
        <v>18</v>
      </c>
      <c r="I55">
        <f t="shared" si="10"/>
        <v>4.8547991403537702</v>
      </c>
      <c r="J55">
        <f t="shared" si="11"/>
        <v>1.36168196725886</v>
      </c>
    </row>
    <row r="56" spans="2:15" x14ac:dyDescent="0.25">
      <c r="B56" t="s">
        <v>50</v>
      </c>
      <c r="C56">
        <f t="shared" si="6"/>
        <v>19</v>
      </c>
      <c r="D56">
        <f t="shared" si="7"/>
        <v>3.44382692241832</v>
      </c>
      <c r="E56">
        <f t="shared" si="8"/>
        <v>1.40514495642787</v>
      </c>
      <c r="G56" t="s">
        <v>155</v>
      </c>
      <c r="H56">
        <f t="shared" si="9"/>
        <v>18</v>
      </c>
      <c r="I56">
        <f t="shared" si="10"/>
        <v>4.9118014475982301</v>
      </c>
      <c r="J56">
        <f t="shared" si="11"/>
        <v>1.36158035886805</v>
      </c>
    </row>
    <row r="57" spans="2:15" x14ac:dyDescent="0.25">
      <c r="B57" t="s">
        <v>51</v>
      </c>
      <c r="C57">
        <f t="shared" si="6"/>
        <v>19</v>
      </c>
      <c r="D57">
        <f t="shared" si="7"/>
        <v>3.4866040549493702</v>
      </c>
      <c r="E57">
        <f t="shared" si="8"/>
        <v>1.3987690299045401</v>
      </c>
      <c r="G57" t="s">
        <v>156</v>
      </c>
      <c r="H57">
        <f t="shared" si="9"/>
        <v>18</v>
      </c>
      <c r="I57">
        <f t="shared" si="10"/>
        <v>4.9973557126603296</v>
      </c>
      <c r="J57">
        <f t="shared" si="11"/>
        <v>1.34882850582138</v>
      </c>
    </row>
    <row r="58" spans="2:15" x14ac:dyDescent="0.25">
      <c r="B58" t="s">
        <v>52</v>
      </c>
      <c r="C58">
        <f t="shared" si="6"/>
        <v>18</v>
      </c>
      <c r="D58">
        <f t="shared" si="7"/>
        <v>3.5579077432003499</v>
      </c>
      <c r="E58">
        <f t="shared" si="8"/>
        <v>1.3860425789555699</v>
      </c>
      <c r="G58" t="s">
        <v>157</v>
      </c>
      <c r="H58">
        <f t="shared" si="9"/>
        <v>18</v>
      </c>
      <c r="I58">
        <f t="shared" si="10"/>
        <v>5.0686594009113097</v>
      </c>
      <c r="J58">
        <f t="shared" si="11"/>
        <v>1.3361020548724201</v>
      </c>
    </row>
    <row r="59" spans="2:15" x14ac:dyDescent="0.25">
      <c r="B59" t="s">
        <v>53</v>
      </c>
      <c r="C59">
        <f t="shared" si="6"/>
        <v>19</v>
      </c>
      <c r="D59">
        <f t="shared" si="7"/>
        <v>3.6006848757313898</v>
      </c>
      <c r="E59">
        <f t="shared" si="8"/>
        <v>1.3796666524322401</v>
      </c>
      <c r="G59" t="s">
        <v>158</v>
      </c>
      <c r="H59">
        <f t="shared" si="9"/>
        <v>18</v>
      </c>
      <c r="I59">
        <f t="shared" si="10"/>
        <v>5.1541501607291504</v>
      </c>
      <c r="J59">
        <f t="shared" si="11"/>
        <v>1.3390995024013099</v>
      </c>
    </row>
    <row r="60" spans="2:15" x14ac:dyDescent="0.25">
      <c r="B60" t="s">
        <v>54</v>
      </c>
      <c r="C60">
        <f t="shared" si="6"/>
        <v>18</v>
      </c>
      <c r="D60">
        <f t="shared" si="7"/>
        <v>3.6719885639823699</v>
      </c>
      <c r="E60">
        <f t="shared" si="8"/>
        <v>1.3669402014832801</v>
      </c>
      <c r="G60" t="s">
        <v>159</v>
      </c>
      <c r="H60">
        <f t="shared" si="9"/>
        <v>18</v>
      </c>
      <c r="I60">
        <f t="shared" si="10"/>
        <v>5.2396663226446902</v>
      </c>
      <c r="J60">
        <f t="shared" si="11"/>
        <v>1.33579722969999</v>
      </c>
    </row>
    <row r="61" spans="2:15" x14ac:dyDescent="0.25">
      <c r="B61" t="s">
        <v>55</v>
      </c>
      <c r="C61">
        <f t="shared" si="6"/>
        <v>19</v>
      </c>
      <c r="D61">
        <f t="shared" si="7"/>
        <v>3.7147656965134201</v>
      </c>
      <c r="E61">
        <f t="shared" si="8"/>
        <v>1.36056427495994</v>
      </c>
      <c r="G61" t="s">
        <v>160</v>
      </c>
      <c r="H61">
        <f t="shared" si="9"/>
        <v>18</v>
      </c>
      <c r="I61">
        <f t="shared" si="10"/>
        <v>5.3323331750634901</v>
      </c>
      <c r="J61">
        <f t="shared" si="11"/>
        <v>1.32618253571958</v>
      </c>
    </row>
    <row r="62" spans="2:15" x14ac:dyDescent="0.25">
      <c r="B62" t="s">
        <v>56</v>
      </c>
      <c r="C62">
        <f t="shared" si="6"/>
        <v>19</v>
      </c>
      <c r="D62">
        <f t="shared" si="7"/>
        <v>3.7575428290444699</v>
      </c>
      <c r="E62">
        <f t="shared" si="8"/>
        <v>1.35418834843661</v>
      </c>
      <c r="G62" t="s">
        <v>161</v>
      </c>
      <c r="H62">
        <f t="shared" si="9"/>
        <v>17</v>
      </c>
      <c r="I62">
        <f t="shared" si="10"/>
        <v>5.4392506042934103</v>
      </c>
      <c r="J62">
        <f t="shared" si="11"/>
        <v>1.31654243964147</v>
      </c>
    </row>
    <row r="63" spans="2:15" x14ac:dyDescent="0.25">
      <c r="B63" t="s">
        <v>57</v>
      </c>
      <c r="C63">
        <f t="shared" si="6"/>
        <v>19</v>
      </c>
      <c r="D63">
        <f t="shared" si="7"/>
        <v>3.8074579510299298</v>
      </c>
      <c r="E63">
        <f t="shared" si="8"/>
        <v>1.34464986074931</v>
      </c>
      <c r="G63" t="s">
        <v>162</v>
      </c>
      <c r="H63">
        <f t="shared" si="9"/>
        <v>18</v>
      </c>
      <c r="I63">
        <f t="shared" si="10"/>
        <v>5.5390046419712098</v>
      </c>
      <c r="J63">
        <f t="shared" si="11"/>
        <v>1.31636462495756</v>
      </c>
    </row>
    <row r="64" spans="2:15" x14ac:dyDescent="0.25">
      <c r="B64" t="s">
        <v>58</v>
      </c>
      <c r="C64">
        <f t="shared" si="6"/>
        <v>18</v>
      </c>
      <c r="D64">
        <f t="shared" si="7"/>
        <v>3.8502350835609702</v>
      </c>
      <c r="E64">
        <f t="shared" si="8"/>
        <v>1.33827393422598</v>
      </c>
      <c r="G64" t="s">
        <v>163</v>
      </c>
      <c r="H64">
        <f t="shared" si="9"/>
        <v>18</v>
      </c>
      <c r="I64">
        <f t="shared" si="10"/>
        <v>5.64592207120113</v>
      </c>
      <c r="J64">
        <f t="shared" si="11"/>
        <v>1.30672452887945</v>
      </c>
    </row>
    <row r="65" spans="2:10" x14ac:dyDescent="0.25">
      <c r="B65" t="s">
        <v>59</v>
      </c>
      <c r="C65">
        <f t="shared" si="6"/>
        <v>19</v>
      </c>
      <c r="D65">
        <f t="shared" si="7"/>
        <v>3.89301221609202</v>
      </c>
      <c r="E65">
        <f t="shared" si="8"/>
        <v>1.3318980077026501</v>
      </c>
      <c r="G65" t="s">
        <v>164</v>
      </c>
      <c r="H65">
        <f t="shared" si="9"/>
        <v>18</v>
      </c>
      <c r="I65">
        <f t="shared" si="10"/>
        <v>5.7670900772421598</v>
      </c>
      <c r="J65">
        <f t="shared" si="11"/>
        <v>1.29705903070364</v>
      </c>
    </row>
    <row r="66" spans="2:10" x14ac:dyDescent="0.25">
      <c r="B66" t="s">
        <v>60</v>
      </c>
      <c r="C66">
        <f t="shared" si="6"/>
        <v>18</v>
      </c>
      <c r="D66">
        <f t="shared" si="7"/>
        <v>3.92866406021751</v>
      </c>
      <c r="E66">
        <f t="shared" si="8"/>
        <v>1.32553478222817</v>
      </c>
      <c r="G66" t="s">
        <v>165</v>
      </c>
      <c r="H66">
        <f t="shared" si="9"/>
        <v>18</v>
      </c>
      <c r="I66">
        <f t="shared" si="10"/>
        <v>6.0236512640376301</v>
      </c>
      <c r="J66">
        <f t="shared" si="11"/>
        <v>1.2840023524845401</v>
      </c>
    </row>
    <row r="67" spans="2:10" x14ac:dyDescent="0.25">
      <c r="B67" t="s">
        <v>61</v>
      </c>
      <c r="C67">
        <f t="shared" si="6"/>
        <v>19</v>
      </c>
      <c r="D67">
        <f t="shared" si="7"/>
        <v>3.9714411927485598</v>
      </c>
      <c r="E67">
        <f t="shared" si="8"/>
        <v>1.3191588557048299</v>
      </c>
      <c r="G67" t="s">
        <v>166</v>
      </c>
      <c r="H67">
        <f t="shared" si="9"/>
        <v>18</v>
      </c>
      <c r="I67">
        <f t="shared" si="10"/>
        <v>6.3015883160497799</v>
      </c>
      <c r="J67">
        <f t="shared" si="11"/>
        <v>1.27090757111889</v>
      </c>
    </row>
    <row r="68" spans="2:10" x14ac:dyDescent="0.25">
      <c r="B68" t="s">
        <v>62</v>
      </c>
      <c r="C68">
        <f t="shared" si="6"/>
        <v>18</v>
      </c>
      <c r="D68">
        <f t="shared" si="7"/>
        <v>4.0284816031395696</v>
      </c>
      <c r="E68">
        <f t="shared" si="8"/>
        <v>1.30960766696869</v>
      </c>
    </row>
    <row r="69" spans="2:10" x14ac:dyDescent="0.25">
      <c r="B69" t="s">
        <v>63</v>
      </c>
      <c r="C69">
        <f t="shared" si="6"/>
        <v>18</v>
      </c>
      <c r="D69">
        <f t="shared" si="7"/>
        <v>4.0712587356706198</v>
      </c>
      <c r="E69">
        <f t="shared" si="8"/>
        <v>1.30323174044535</v>
      </c>
    </row>
    <row r="70" spans="2:10" x14ac:dyDescent="0.25">
      <c r="B70" t="s">
        <v>64</v>
      </c>
      <c r="C70">
        <f t="shared" si="6"/>
        <v>18</v>
      </c>
      <c r="D70">
        <f t="shared" si="7"/>
        <v>4.11403586820167</v>
      </c>
      <c r="E70">
        <f t="shared" si="8"/>
        <v>1.2968558139220201</v>
      </c>
    </row>
    <row r="71" spans="2:10" x14ac:dyDescent="0.25">
      <c r="B71" t="s">
        <v>65</v>
      </c>
      <c r="C71">
        <f t="shared" si="6"/>
        <v>17</v>
      </c>
      <c r="D71">
        <f t="shared" si="7"/>
        <v>4.1568130007327202</v>
      </c>
      <c r="E71">
        <f t="shared" si="8"/>
        <v>1.29047988739869</v>
      </c>
    </row>
    <row r="72" spans="2:10" x14ac:dyDescent="0.25">
      <c r="B72" t="s">
        <v>66</v>
      </c>
      <c r="C72">
        <f t="shared" si="6"/>
        <v>18</v>
      </c>
      <c r="D72">
        <f t="shared" si="7"/>
        <v>4.1995901332637597</v>
      </c>
      <c r="E72">
        <f t="shared" si="8"/>
        <v>1.2841039608753499</v>
      </c>
    </row>
    <row r="73" spans="2:10" x14ac:dyDescent="0.25">
      <c r="B73" t="s">
        <v>67</v>
      </c>
      <c r="C73">
        <f t="shared" si="6"/>
        <v>18</v>
      </c>
      <c r="D73">
        <f t="shared" si="7"/>
        <v>4.2566305436547802</v>
      </c>
      <c r="E73">
        <f t="shared" si="8"/>
        <v>1.2745527721392</v>
      </c>
    </row>
    <row r="74" spans="2:10" x14ac:dyDescent="0.25">
      <c r="B74" t="s">
        <v>68</v>
      </c>
      <c r="C74">
        <f t="shared" si="6"/>
        <v>18</v>
      </c>
      <c r="D74">
        <f t="shared" si="7"/>
        <v>4.31367095404579</v>
      </c>
      <c r="E74">
        <f t="shared" si="8"/>
        <v>1.2650015834030599</v>
      </c>
    </row>
    <row r="75" spans="2:10" x14ac:dyDescent="0.25">
      <c r="B75" t="s">
        <v>69</v>
      </c>
      <c r="C75">
        <f t="shared" si="6"/>
        <v>18</v>
      </c>
      <c r="D75">
        <f t="shared" si="7"/>
        <v>4.3564480865768402</v>
      </c>
      <c r="E75">
        <f t="shared" si="8"/>
        <v>1.2586256568797201</v>
      </c>
    </row>
    <row r="76" spans="2:10" x14ac:dyDescent="0.25">
      <c r="B76" t="s">
        <v>70</v>
      </c>
      <c r="C76">
        <f>FIND(",",B76)</f>
        <v>18</v>
      </c>
      <c r="D76">
        <f>_xlfn.NUMBERVALUE(LEFT(B76,C76-1))</f>
        <v>4.3849619412479202</v>
      </c>
      <c r="E76">
        <f>_xlfn.NUMBERVALUE(RIGHT(B76,LEN(B76)-C76))</f>
        <v>1.25542499256921</v>
      </c>
    </row>
    <row r="77" spans="2:10" x14ac:dyDescent="0.25">
      <c r="B77" t="s">
        <v>71</v>
      </c>
      <c r="C77">
        <f>FIND(",",B77)</f>
        <v>18</v>
      </c>
      <c r="D77">
        <f>_xlfn.NUMBERVALUE(LEFT(B77,C77-1))</f>
        <v>4.4277390737789704</v>
      </c>
      <c r="E77">
        <f>_xlfn.NUMBERVALUE(RIGHT(B77,LEN(B77)-C77))</f>
        <v>1.24904906604587</v>
      </c>
    </row>
    <row r="78" spans="2:10" x14ac:dyDescent="0.25">
      <c r="B78" t="s">
        <v>72</v>
      </c>
      <c r="C78">
        <f t="shared" ref="C78:C113" si="12">FIND(",",B78)</f>
        <v>19</v>
      </c>
      <c r="D78">
        <f t="shared" ref="D78:D113" si="13">_xlfn.NUMBERVALUE(LEFT(B78,C78-1))</f>
        <v>4.4847794841699802</v>
      </c>
      <c r="E78">
        <f t="shared" ref="E78:E113" si="14">_xlfn.NUMBERVALUE(RIGHT(B78,LEN(B78)-C78))</f>
        <v>1.2394978773097201</v>
      </c>
    </row>
    <row r="79" spans="2:10" x14ac:dyDescent="0.25">
      <c r="B79" t="s">
        <v>73</v>
      </c>
      <c r="C79">
        <f t="shared" si="12"/>
        <v>18</v>
      </c>
      <c r="D79">
        <f t="shared" si="13"/>
        <v>4.5275566167010304</v>
      </c>
      <c r="E79">
        <f t="shared" si="14"/>
        <v>1.23312195078639</v>
      </c>
    </row>
    <row r="80" spans="2:10" x14ac:dyDescent="0.25">
      <c r="B80" t="s">
        <v>74</v>
      </c>
      <c r="C80">
        <f t="shared" si="12"/>
        <v>18</v>
      </c>
      <c r="D80">
        <f t="shared" si="13"/>
        <v>4.5703337492320797</v>
      </c>
      <c r="E80">
        <f t="shared" si="14"/>
        <v>1.2267460242630599</v>
      </c>
    </row>
    <row r="81" spans="2:5" x14ac:dyDescent="0.25">
      <c r="B81" t="s">
        <v>75</v>
      </c>
      <c r="C81">
        <f t="shared" si="12"/>
        <v>18</v>
      </c>
      <c r="D81">
        <f t="shared" si="13"/>
        <v>4.6131108817631201</v>
      </c>
      <c r="E81">
        <f t="shared" si="14"/>
        <v>1.2203700977397201</v>
      </c>
    </row>
    <row r="82" spans="2:5" x14ac:dyDescent="0.25">
      <c r="B82" t="s">
        <v>76</v>
      </c>
      <c r="C82">
        <f t="shared" si="12"/>
        <v>19</v>
      </c>
      <c r="D82">
        <f t="shared" si="13"/>
        <v>4.6558880142941703</v>
      </c>
      <c r="E82">
        <f t="shared" si="14"/>
        <v>1.21399417121639</v>
      </c>
    </row>
    <row r="83" spans="2:5" x14ac:dyDescent="0.25">
      <c r="B83" t="s">
        <v>77</v>
      </c>
      <c r="C83">
        <f t="shared" si="12"/>
        <v>18</v>
      </c>
      <c r="D83">
        <f t="shared" si="13"/>
        <v>4.6986651468252196</v>
      </c>
      <c r="E83">
        <f t="shared" si="14"/>
        <v>1.2076182446930599</v>
      </c>
    </row>
    <row r="84" spans="2:5" x14ac:dyDescent="0.25">
      <c r="B84" t="s">
        <v>78</v>
      </c>
      <c r="C84">
        <f t="shared" si="12"/>
        <v>18</v>
      </c>
      <c r="D84">
        <f t="shared" si="13"/>
        <v>4.7271790014963004</v>
      </c>
      <c r="E84">
        <f t="shared" si="14"/>
        <v>1.2044175803825401</v>
      </c>
    </row>
    <row r="85" spans="2:5" x14ac:dyDescent="0.25">
      <c r="B85" t="s">
        <v>79</v>
      </c>
      <c r="C85">
        <f t="shared" si="12"/>
        <v>17</v>
      </c>
      <c r="D85">
        <f t="shared" si="13"/>
        <v>4.7770814224329099</v>
      </c>
      <c r="E85">
        <f t="shared" si="14"/>
        <v>1.19802895281036</v>
      </c>
    </row>
    <row r="86" spans="2:5" x14ac:dyDescent="0.25">
      <c r="B86" t="s">
        <v>80</v>
      </c>
      <c r="C86">
        <f t="shared" si="12"/>
        <v>16</v>
      </c>
      <c r="D86">
        <f t="shared" si="13"/>
        <v>4.8127332665583999</v>
      </c>
      <c r="E86">
        <f t="shared" si="14"/>
        <v>1.19166572733587</v>
      </c>
    </row>
    <row r="87" spans="2:5" x14ac:dyDescent="0.25">
      <c r="B87" t="s">
        <v>81</v>
      </c>
      <c r="C87">
        <f t="shared" si="12"/>
        <v>18</v>
      </c>
      <c r="D87">
        <f t="shared" si="13"/>
        <v>4.8626356874949996</v>
      </c>
      <c r="E87">
        <f t="shared" si="14"/>
        <v>1.1852770997636899</v>
      </c>
    </row>
    <row r="88" spans="2:5" x14ac:dyDescent="0.25">
      <c r="B88" t="s">
        <v>82</v>
      </c>
      <c r="C88">
        <f t="shared" si="12"/>
        <v>19</v>
      </c>
      <c r="D88">
        <f t="shared" si="13"/>
        <v>4.9054128200260498</v>
      </c>
      <c r="E88">
        <f t="shared" si="14"/>
        <v>1.17890117324036</v>
      </c>
    </row>
    <row r="89" spans="2:5" x14ac:dyDescent="0.25">
      <c r="B89" t="s">
        <v>83</v>
      </c>
      <c r="C89">
        <f t="shared" si="12"/>
        <v>16</v>
      </c>
      <c r="D89">
        <f t="shared" si="13"/>
        <v>4.9481899525571</v>
      </c>
      <c r="E89">
        <f t="shared" si="14"/>
        <v>1.17252524671702</v>
      </c>
    </row>
    <row r="90" spans="2:5" x14ac:dyDescent="0.25">
      <c r="B90" t="s">
        <v>84</v>
      </c>
      <c r="C90">
        <f t="shared" si="12"/>
        <v>18</v>
      </c>
      <c r="D90">
        <f t="shared" si="13"/>
        <v>5.1335490594923998</v>
      </c>
      <c r="E90">
        <f t="shared" si="14"/>
        <v>1.1469961385259899</v>
      </c>
    </row>
    <row r="91" spans="2:5" x14ac:dyDescent="0.25">
      <c r="B91" t="s">
        <v>85</v>
      </c>
      <c r="C91">
        <f t="shared" si="12"/>
        <v>18</v>
      </c>
      <c r="D91">
        <f t="shared" si="13"/>
        <v>5.17632619202345</v>
      </c>
      <c r="E91">
        <f t="shared" si="14"/>
        <v>1.1406202120026601</v>
      </c>
    </row>
    <row r="92" spans="2:5" x14ac:dyDescent="0.25">
      <c r="B92" t="s">
        <v>86</v>
      </c>
      <c r="C92">
        <f t="shared" si="12"/>
        <v>18</v>
      </c>
      <c r="D92">
        <f t="shared" si="13"/>
        <v>5.2191033245545002</v>
      </c>
      <c r="E92">
        <f t="shared" si="14"/>
        <v>1.13424428547932</v>
      </c>
    </row>
    <row r="93" spans="2:5" x14ac:dyDescent="0.25">
      <c r="B93" t="s">
        <v>87</v>
      </c>
      <c r="C93">
        <f t="shared" si="12"/>
        <v>18</v>
      </c>
      <c r="D93">
        <f t="shared" si="13"/>
        <v>5.2690057454910999</v>
      </c>
      <c r="E93">
        <f t="shared" si="14"/>
        <v>1.1278556579071399</v>
      </c>
    </row>
    <row r="94" spans="2:5" x14ac:dyDescent="0.25">
      <c r="B94" t="s">
        <v>88</v>
      </c>
      <c r="C94">
        <f t="shared" si="12"/>
        <v>17</v>
      </c>
      <c r="D94">
        <f t="shared" si="13"/>
        <v>5.3189081664277102</v>
      </c>
      <c r="E94">
        <f t="shared" si="14"/>
        <v>1.1214670303349501</v>
      </c>
    </row>
    <row r="95" spans="2:5" x14ac:dyDescent="0.25">
      <c r="B95" t="s">
        <v>89</v>
      </c>
      <c r="C95">
        <f t="shared" si="12"/>
        <v>18</v>
      </c>
      <c r="D95">
        <f t="shared" si="13"/>
        <v>5.3616852989587498</v>
      </c>
      <c r="E95">
        <f t="shared" si="14"/>
        <v>1.11509110381162</v>
      </c>
    </row>
    <row r="96" spans="2:5" x14ac:dyDescent="0.25">
      <c r="B96" t="s">
        <v>90</v>
      </c>
      <c r="C96">
        <f t="shared" si="12"/>
        <v>18</v>
      </c>
      <c r="D96">
        <f t="shared" si="13"/>
        <v>5.4115877198953601</v>
      </c>
      <c r="E96">
        <f t="shared" si="14"/>
        <v>1.10870247623944</v>
      </c>
    </row>
    <row r="97" spans="2:5" x14ac:dyDescent="0.25">
      <c r="B97" t="s">
        <v>91</v>
      </c>
      <c r="C97">
        <f t="shared" si="12"/>
        <v>18</v>
      </c>
      <c r="D97">
        <f t="shared" si="13"/>
        <v>5.4614901408319598</v>
      </c>
      <c r="E97">
        <f t="shared" si="14"/>
        <v>1.1023138486672499</v>
      </c>
    </row>
    <row r="98" spans="2:5" x14ac:dyDescent="0.25">
      <c r="B98" t="s">
        <v>92</v>
      </c>
      <c r="C98">
        <f t="shared" si="12"/>
        <v>18</v>
      </c>
      <c r="D98">
        <f t="shared" si="13"/>
        <v>5.50426727336301</v>
      </c>
      <c r="E98">
        <f t="shared" si="14"/>
        <v>1.0959379221439201</v>
      </c>
    </row>
    <row r="99" spans="2:5" x14ac:dyDescent="0.25">
      <c r="B99" t="s">
        <v>93</v>
      </c>
      <c r="C99">
        <f t="shared" si="12"/>
        <v>17</v>
      </c>
      <c r="D99">
        <f t="shared" si="13"/>
        <v>5.5612949827051796</v>
      </c>
      <c r="E99">
        <f t="shared" si="14"/>
        <v>1.08953659352288</v>
      </c>
    </row>
    <row r="100" spans="2:5" x14ac:dyDescent="0.25">
      <c r="B100" t="s">
        <v>94</v>
      </c>
      <c r="C100">
        <f t="shared" si="12"/>
        <v>18</v>
      </c>
      <c r="D100">
        <f t="shared" si="13"/>
        <v>5.6040721152362201</v>
      </c>
      <c r="E100">
        <f t="shared" si="14"/>
        <v>1.0831606669995499</v>
      </c>
    </row>
    <row r="101" spans="2:5" x14ac:dyDescent="0.25">
      <c r="B101" t="s">
        <v>95</v>
      </c>
      <c r="C101">
        <f t="shared" si="12"/>
        <v>18</v>
      </c>
      <c r="D101">
        <f t="shared" si="13"/>
        <v>5.6468492477672703</v>
      </c>
      <c r="E101">
        <f t="shared" si="14"/>
        <v>1.0767847404762201</v>
      </c>
    </row>
    <row r="102" spans="2:5" x14ac:dyDescent="0.25">
      <c r="B102" t="s">
        <v>96</v>
      </c>
      <c r="C102">
        <f t="shared" si="12"/>
        <v>18</v>
      </c>
      <c r="D102">
        <f t="shared" si="13"/>
        <v>5.7038769571094301</v>
      </c>
      <c r="E102">
        <f t="shared" si="14"/>
        <v>1.07038341185518</v>
      </c>
    </row>
    <row r="103" spans="2:5" x14ac:dyDescent="0.25">
      <c r="B103" t="s">
        <v>97</v>
      </c>
      <c r="C103">
        <f t="shared" si="12"/>
        <v>18</v>
      </c>
      <c r="D103">
        <f t="shared" si="13"/>
        <v>5.7466540896404803</v>
      </c>
      <c r="E103">
        <f t="shared" si="14"/>
        <v>1.06400748533185</v>
      </c>
    </row>
    <row r="104" spans="2:5" x14ac:dyDescent="0.25">
      <c r="B104" t="s">
        <v>98</v>
      </c>
      <c r="C104">
        <f t="shared" si="12"/>
        <v>18</v>
      </c>
      <c r="D104">
        <f t="shared" si="13"/>
        <v>5.8036817989826401</v>
      </c>
      <c r="E104">
        <f t="shared" si="14"/>
        <v>1.0576061567108099</v>
      </c>
    </row>
    <row r="105" spans="2:5" x14ac:dyDescent="0.25">
      <c r="B105" t="s">
        <v>99</v>
      </c>
      <c r="C105">
        <f t="shared" si="12"/>
        <v>18</v>
      </c>
      <c r="D105">
        <f t="shared" si="13"/>
        <v>5.8464589315136903</v>
      </c>
      <c r="E105">
        <f t="shared" si="14"/>
        <v>1.0512302301874801</v>
      </c>
    </row>
    <row r="106" spans="2:5" x14ac:dyDescent="0.25">
      <c r="B106" t="s">
        <v>100</v>
      </c>
      <c r="C106">
        <f t="shared" si="12"/>
        <v>18</v>
      </c>
      <c r="D106">
        <f t="shared" si="13"/>
        <v>5.9034866408558502</v>
      </c>
      <c r="E106">
        <f t="shared" si="14"/>
        <v>1.04482890156644</v>
      </c>
    </row>
    <row r="107" spans="2:5" x14ac:dyDescent="0.25">
      <c r="B107" t="s">
        <v>101</v>
      </c>
      <c r="C107">
        <f t="shared" si="12"/>
        <v>18</v>
      </c>
      <c r="D107">
        <f t="shared" si="13"/>
        <v>5.9533890617924596</v>
      </c>
      <c r="E107">
        <f t="shared" si="14"/>
        <v>1.03844027399426</v>
      </c>
    </row>
    <row r="108" spans="2:5" x14ac:dyDescent="0.25">
      <c r="B108" t="s">
        <v>102</v>
      </c>
      <c r="C108">
        <f t="shared" si="12"/>
        <v>18</v>
      </c>
      <c r="D108">
        <f t="shared" si="13"/>
        <v>6.0032914827290602</v>
      </c>
      <c r="E108">
        <f t="shared" si="14"/>
        <v>1.0320516464220699</v>
      </c>
    </row>
    <row r="109" spans="2:5" x14ac:dyDescent="0.25">
      <c r="B109" t="s">
        <v>103</v>
      </c>
      <c r="C109">
        <f t="shared" si="12"/>
        <v>18</v>
      </c>
      <c r="D109">
        <f t="shared" si="13"/>
        <v>6.0603191920712298</v>
      </c>
      <c r="E109">
        <f t="shared" si="14"/>
        <v>1.0256503178010401</v>
      </c>
    </row>
    <row r="110" spans="2:5" x14ac:dyDescent="0.25">
      <c r="B110" t="s">
        <v>104</v>
      </c>
      <c r="C110">
        <f t="shared" si="12"/>
        <v>18</v>
      </c>
      <c r="D110">
        <f t="shared" si="13"/>
        <v>6.1030963246022703</v>
      </c>
      <c r="E110">
        <f t="shared" si="14"/>
        <v>1.01927439127771</v>
      </c>
    </row>
    <row r="111" spans="2:5" x14ac:dyDescent="0.25">
      <c r="B111" t="s">
        <v>105</v>
      </c>
      <c r="C111">
        <f t="shared" si="12"/>
        <v>17</v>
      </c>
      <c r="D111">
        <f t="shared" si="13"/>
        <v>6.1601240339444399</v>
      </c>
      <c r="E111">
        <f t="shared" si="14"/>
        <v>1.01287306265667</v>
      </c>
    </row>
    <row r="112" spans="2:5" x14ac:dyDescent="0.25">
      <c r="B112" t="s">
        <v>106</v>
      </c>
      <c r="C112">
        <f t="shared" si="12"/>
        <v>18</v>
      </c>
      <c r="D112">
        <f t="shared" si="13"/>
        <v>6.2100264548810404</v>
      </c>
      <c r="E112">
        <f t="shared" si="14"/>
        <v>1.0064844350844899</v>
      </c>
    </row>
    <row r="113" spans="2:5" x14ac:dyDescent="0.25">
      <c r="B113" t="s">
        <v>107</v>
      </c>
      <c r="C113">
        <f t="shared" si="12"/>
        <v>18</v>
      </c>
      <c r="D113">
        <f t="shared" si="13"/>
        <v>6.4238867154385799</v>
      </c>
      <c r="E113">
        <f t="shared" si="14"/>
        <v>0.98090452269805095</v>
      </c>
    </row>
  </sheetData>
  <mergeCells count="3">
    <mergeCell ref="N9:O9"/>
    <mergeCell ref="D9:E9"/>
    <mergeCell ref="I9:J9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8"/>
  <sheetViews>
    <sheetView zoomScale="85" zoomScaleNormal="85" workbookViewId="0">
      <selection activeCell="E20" sqref="E20"/>
    </sheetView>
  </sheetViews>
  <sheetFormatPr defaultRowHeight="15" x14ac:dyDescent="0.25"/>
  <cols>
    <col min="1" max="1" width="22.42578125" customWidth="1"/>
    <col min="2" max="2" width="12.85546875" bestFit="1" customWidth="1"/>
    <col min="3" max="3" width="17.42578125" bestFit="1" customWidth="1"/>
    <col min="4" max="4" width="14.85546875" customWidth="1"/>
    <col min="5" max="5" width="12.85546875" bestFit="1" customWidth="1"/>
    <col min="6" max="6" width="17.42578125" bestFit="1" customWidth="1"/>
    <col min="7" max="7" width="5.28515625" customWidth="1"/>
    <col min="8" max="8" width="3.7109375" customWidth="1"/>
    <col min="9" max="10" width="17.42578125" bestFit="1" customWidth="1"/>
    <col min="11" max="11" width="5.28515625" customWidth="1"/>
  </cols>
  <sheetData>
    <row r="1" spans="1:11" ht="18.75" x14ac:dyDescent="0.3">
      <c r="A1" s="22" t="s">
        <v>278</v>
      </c>
    </row>
    <row r="2" spans="1:11" ht="18.75" x14ac:dyDescent="0.3">
      <c r="A2" s="22"/>
    </row>
    <row r="3" spans="1:11" x14ac:dyDescent="0.25">
      <c r="A3" s="23" t="s">
        <v>231</v>
      </c>
    </row>
    <row r="4" spans="1:11" x14ac:dyDescent="0.25">
      <c r="A4" s="1" t="s">
        <v>274</v>
      </c>
      <c r="B4" t="s">
        <v>362</v>
      </c>
    </row>
    <row r="5" spans="1:11" x14ac:dyDescent="0.25">
      <c r="A5" s="1" t="s">
        <v>275</v>
      </c>
      <c r="B5" t="s">
        <v>363</v>
      </c>
    </row>
    <row r="6" spans="1:11" ht="15.75" thickBot="1" x14ac:dyDescent="0.3"/>
    <row r="7" spans="1:11" x14ac:dyDescent="0.25">
      <c r="B7" s="1"/>
      <c r="H7" s="44"/>
      <c r="I7" s="45"/>
      <c r="J7" s="45"/>
      <c r="K7" s="46"/>
    </row>
    <row r="8" spans="1:11" x14ac:dyDescent="0.25">
      <c r="B8" s="107" t="s">
        <v>364</v>
      </c>
      <c r="C8" s="107"/>
      <c r="E8" s="107" t="s">
        <v>365</v>
      </c>
      <c r="F8" s="107"/>
      <c r="H8" s="47"/>
      <c r="I8" s="110" t="s">
        <v>230</v>
      </c>
      <c r="J8" s="110"/>
      <c r="K8" s="48"/>
    </row>
    <row r="9" spans="1:11" x14ac:dyDescent="0.25">
      <c r="B9" s="1" t="s">
        <v>276</v>
      </c>
      <c r="C9" s="19" t="s">
        <v>277</v>
      </c>
      <c r="D9" s="1"/>
      <c r="E9" s="1" t="s">
        <v>276</v>
      </c>
      <c r="F9" s="19" t="s">
        <v>277</v>
      </c>
      <c r="H9" s="47"/>
      <c r="I9" s="51" t="s">
        <v>276</v>
      </c>
      <c r="J9" s="50" t="s">
        <v>277</v>
      </c>
      <c r="K9" s="48"/>
    </row>
    <row r="10" spans="1:11" x14ac:dyDescent="0.25">
      <c r="B10" s="3">
        <v>0</v>
      </c>
      <c r="C10" s="3">
        <v>0.95</v>
      </c>
      <c r="D10" s="3"/>
      <c r="E10" s="3">
        <v>0</v>
      </c>
      <c r="F10" s="3">
        <v>1</v>
      </c>
      <c r="H10" s="47"/>
      <c r="I10" s="52">
        <v>0</v>
      </c>
      <c r="J10" s="52">
        <f t="shared" ref="J10:J16" si="0">AVERAGE(C10,F10)</f>
        <v>0.97499999999999998</v>
      </c>
      <c r="K10" s="48"/>
    </row>
    <row r="11" spans="1:11" x14ac:dyDescent="0.25">
      <c r="B11" s="3">
        <v>1</v>
      </c>
      <c r="C11" s="3">
        <v>0.93</v>
      </c>
      <c r="D11" s="3"/>
      <c r="E11" s="3">
        <v>1</v>
      </c>
      <c r="F11" s="3">
        <v>0.91</v>
      </c>
      <c r="H11" s="47"/>
      <c r="I11" s="52">
        <v>1</v>
      </c>
      <c r="J11" s="52">
        <f t="shared" si="0"/>
        <v>0.92</v>
      </c>
      <c r="K11" s="48"/>
    </row>
    <row r="12" spans="1:11" x14ac:dyDescent="0.25">
      <c r="B12" s="3">
        <v>2</v>
      </c>
      <c r="C12" s="3">
        <v>0.83</v>
      </c>
      <c r="D12" s="3"/>
      <c r="E12" s="3">
        <v>2</v>
      </c>
      <c r="F12" s="3">
        <v>0.76</v>
      </c>
      <c r="H12" s="47"/>
      <c r="I12" s="52">
        <v>2</v>
      </c>
      <c r="J12" s="52">
        <f t="shared" si="0"/>
        <v>0.79499999999999993</v>
      </c>
      <c r="K12" s="48"/>
    </row>
    <row r="13" spans="1:11" x14ac:dyDescent="0.25">
      <c r="B13" s="3">
        <v>3</v>
      </c>
      <c r="C13" s="3">
        <v>0.62</v>
      </c>
      <c r="D13" s="3"/>
      <c r="E13" s="3">
        <v>3</v>
      </c>
      <c r="F13" s="3">
        <v>0.65</v>
      </c>
      <c r="H13" s="47"/>
      <c r="I13" s="52">
        <v>3</v>
      </c>
      <c r="J13" s="52">
        <f t="shared" si="0"/>
        <v>0.63500000000000001</v>
      </c>
      <c r="K13" s="48"/>
    </row>
    <row r="14" spans="1:11" x14ac:dyDescent="0.25">
      <c r="B14" s="3">
        <v>4</v>
      </c>
      <c r="C14" s="3">
        <v>0.42</v>
      </c>
      <c r="D14" s="3"/>
      <c r="E14" s="3">
        <v>4</v>
      </c>
      <c r="F14" s="3">
        <v>0.33</v>
      </c>
      <c r="H14" s="47"/>
      <c r="I14" s="52">
        <v>4</v>
      </c>
      <c r="J14" s="52">
        <f t="shared" si="0"/>
        <v>0.375</v>
      </c>
      <c r="K14" s="48"/>
    </row>
    <row r="15" spans="1:11" x14ac:dyDescent="0.25">
      <c r="B15" s="3">
        <v>5</v>
      </c>
      <c r="C15" s="3">
        <v>0.11</v>
      </c>
      <c r="D15" s="3"/>
      <c r="E15" s="3">
        <v>5</v>
      </c>
      <c r="F15" s="3">
        <v>0</v>
      </c>
      <c r="H15" s="47"/>
      <c r="I15" s="52">
        <v>5</v>
      </c>
      <c r="J15" s="52">
        <f t="shared" si="0"/>
        <v>5.5E-2</v>
      </c>
      <c r="K15" s="48"/>
    </row>
    <row r="16" spans="1:11" x14ac:dyDescent="0.25">
      <c r="B16" s="3">
        <v>6</v>
      </c>
      <c r="C16" s="3">
        <v>0</v>
      </c>
      <c r="D16" s="3"/>
      <c r="E16" s="3">
        <v>6</v>
      </c>
      <c r="F16" s="3">
        <v>0</v>
      </c>
      <c r="H16" s="47"/>
      <c r="I16" s="52">
        <v>6</v>
      </c>
      <c r="J16" s="52">
        <f t="shared" si="0"/>
        <v>0</v>
      </c>
      <c r="K16" s="48"/>
    </row>
    <row r="17" spans="1:11" ht="15.75" thickBot="1" x14ac:dyDescent="0.3">
      <c r="A17" s="1"/>
      <c r="B17" s="1"/>
      <c r="D17" s="3"/>
      <c r="H17" s="53"/>
      <c r="I17" s="54"/>
      <c r="J17" s="54"/>
      <c r="K17" s="55"/>
    </row>
    <row r="18" spans="1:11" x14ac:dyDescent="0.25">
      <c r="B18" s="107"/>
      <c r="C18" s="107"/>
      <c r="D18" s="107"/>
      <c r="E18" s="107"/>
    </row>
  </sheetData>
  <mergeCells count="4">
    <mergeCell ref="B18:E18"/>
    <mergeCell ref="B8:C8"/>
    <mergeCell ref="E8:F8"/>
    <mergeCell ref="I8:J8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32"/>
  <sheetViews>
    <sheetView topLeftCell="A10" zoomScale="85" zoomScaleNormal="85" workbookViewId="0">
      <selection activeCell="C31" sqref="C31"/>
    </sheetView>
  </sheetViews>
  <sheetFormatPr defaultRowHeight="15" x14ac:dyDescent="0.25"/>
  <cols>
    <col min="1" max="1" width="25" customWidth="1"/>
    <col min="3" max="3" width="16.42578125" customWidth="1"/>
    <col min="4" max="4" width="13.28515625" customWidth="1"/>
    <col min="5" max="5" width="12.5703125" customWidth="1"/>
    <col min="7" max="7" width="15.28515625" customWidth="1"/>
    <col min="8" max="8" width="12.42578125" customWidth="1"/>
    <col min="9" max="9" width="14.5703125" customWidth="1"/>
    <col min="11" max="11" width="14.85546875" customWidth="1"/>
    <col min="12" max="12" width="12.85546875" customWidth="1"/>
    <col min="13" max="13" width="13" customWidth="1"/>
    <col min="17" max="17" width="17.85546875" customWidth="1"/>
    <col min="18" max="18" width="17.28515625" customWidth="1"/>
    <col min="19" max="19" width="13.5703125" customWidth="1"/>
  </cols>
  <sheetData>
    <row r="1" spans="1:6" ht="18.75" x14ac:dyDescent="0.3">
      <c r="A1" s="22" t="s">
        <v>348</v>
      </c>
    </row>
    <row r="3" spans="1:6" x14ac:dyDescent="0.25">
      <c r="A3" s="23" t="s">
        <v>231</v>
      </c>
    </row>
    <row r="4" spans="1:6" x14ac:dyDescent="0.25">
      <c r="A4" s="1" t="s">
        <v>279</v>
      </c>
      <c r="C4" t="s">
        <v>366</v>
      </c>
    </row>
    <row r="5" spans="1:6" x14ac:dyDescent="0.25">
      <c r="A5" s="1"/>
    </row>
    <row r="6" spans="1:6" x14ac:dyDescent="0.25">
      <c r="A6" s="1"/>
    </row>
    <row r="7" spans="1:6" x14ac:dyDescent="0.25">
      <c r="A7" s="1" t="s">
        <v>374</v>
      </c>
    </row>
    <row r="8" spans="1:6" x14ac:dyDescent="0.25">
      <c r="A8" s="1" t="s">
        <v>384</v>
      </c>
    </row>
    <row r="9" spans="1:6" x14ac:dyDescent="0.25">
      <c r="C9" s="107" t="s">
        <v>284</v>
      </c>
      <c r="D9" s="107"/>
      <c r="E9" s="107"/>
    </row>
    <row r="10" spans="1:6" x14ac:dyDescent="0.25">
      <c r="A10" s="1" t="s">
        <v>237</v>
      </c>
      <c r="B10" s="19" t="s">
        <v>238</v>
      </c>
      <c r="C10" s="1" t="s">
        <v>263</v>
      </c>
      <c r="D10" s="1" t="s">
        <v>247</v>
      </c>
      <c r="E10" s="1" t="s">
        <v>248</v>
      </c>
    </row>
    <row r="11" spans="1:6" x14ac:dyDescent="0.25">
      <c r="A11" t="s">
        <v>367</v>
      </c>
      <c r="B11">
        <v>27</v>
      </c>
      <c r="C11" s="6">
        <v>3.44</v>
      </c>
      <c r="D11" s="6">
        <v>1.85</v>
      </c>
      <c r="E11" s="6">
        <v>6.41</v>
      </c>
    </row>
    <row r="12" spans="1:6" x14ac:dyDescent="0.25">
      <c r="A12" s="2" t="s">
        <v>368</v>
      </c>
      <c r="B12">
        <v>40</v>
      </c>
      <c r="C12" s="6">
        <v>2.2400000000000002</v>
      </c>
      <c r="D12" s="6">
        <v>1.56</v>
      </c>
      <c r="E12" s="6">
        <v>3.23</v>
      </c>
    </row>
    <row r="13" spans="1:6" x14ac:dyDescent="0.25">
      <c r="A13" t="s">
        <v>369</v>
      </c>
      <c r="B13">
        <v>50</v>
      </c>
      <c r="C13" s="6">
        <v>1.5</v>
      </c>
      <c r="D13" s="6">
        <v>1.2</v>
      </c>
      <c r="E13" s="6">
        <v>1.88</v>
      </c>
    </row>
    <row r="14" spans="1:6" x14ac:dyDescent="0.25">
      <c r="A14" t="s">
        <v>370</v>
      </c>
      <c r="B14" s="1">
        <v>60</v>
      </c>
      <c r="C14" s="8">
        <v>1</v>
      </c>
      <c r="D14" s="6">
        <v>1</v>
      </c>
      <c r="E14" s="6">
        <v>1</v>
      </c>
      <c r="F14" t="s">
        <v>375</v>
      </c>
    </row>
    <row r="15" spans="1:6" x14ac:dyDescent="0.25">
      <c r="A15" t="s">
        <v>371</v>
      </c>
      <c r="B15">
        <v>70</v>
      </c>
      <c r="C15" s="6">
        <v>0.7</v>
      </c>
      <c r="D15" s="6">
        <v>0.6</v>
      </c>
      <c r="E15" s="6">
        <v>0.81</v>
      </c>
    </row>
    <row r="16" spans="1:6" x14ac:dyDescent="0.25">
      <c r="A16" t="s">
        <v>372</v>
      </c>
      <c r="B16">
        <v>80</v>
      </c>
      <c r="C16" s="6">
        <v>0.32</v>
      </c>
      <c r="D16" s="6">
        <v>0.28000000000000003</v>
      </c>
      <c r="E16" s="6">
        <v>0.37</v>
      </c>
    </row>
    <row r="17" spans="1:20" x14ac:dyDescent="0.25">
      <c r="A17" t="s">
        <v>373</v>
      </c>
      <c r="B17">
        <v>90</v>
      </c>
      <c r="C17" s="6">
        <v>0.18</v>
      </c>
      <c r="D17" s="6">
        <v>0.14000000000000001</v>
      </c>
      <c r="E17" s="6">
        <v>0.22</v>
      </c>
    </row>
    <row r="20" spans="1:20" x14ac:dyDescent="0.25">
      <c r="A20" s="1" t="s">
        <v>282</v>
      </c>
    </row>
    <row r="21" spans="1:20" x14ac:dyDescent="0.25">
      <c r="A21" s="1" t="s">
        <v>280</v>
      </c>
    </row>
    <row r="22" spans="1:20" x14ac:dyDescent="0.25">
      <c r="A22" t="s">
        <v>249</v>
      </c>
      <c r="B22" t="s">
        <v>250</v>
      </c>
      <c r="C22">
        <v>7.3200000000000001E-4</v>
      </c>
      <c r="D22" s="9">
        <v>0</v>
      </c>
    </row>
    <row r="23" spans="1:20" x14ac:dyDescent="0.25">
      <c r="B23" t="s">
        <v>251</v>
      </c>
      <c r="C23">
        <v>-0.1363</v>
      </c>
      <c r="D23">
        <v>-2.8649999999999998E-2</v>
      </c>
    </row>
    <row r="24" spans="1:20" x14ac:dyDescent="0.25">
      <c r="B24" t="s">
        <v>252</v>
      </c>
      <c r="C24">
        <v>6.5519999999999996</v>
      </c>
      <c r="D24">
        <v>2.6539999999999999</v>
      </c>
    </row>
    <row r="26" spans="1:20" x14ac:dyDescent="0.25">
      <c r="A26" s="1" t="s">
        <v>283</v>
      </c>
    </row>
    <row r="27" spans="1:20" x14ac:dyDescent="0.25">
      <c r="A27" t="s">
        <v>281</v>
      </c>
      <c r="B27" t="s">
        <v>0</v>
      </c>
      <c r="E27">
        <v>26.86</v>
      </c>
    </row>
    <row r="28" spans="1:20" x14ac:dyDescent="0.25">
      <c r="B28" t="s">
        <v>213</v>
      </c>
      <c r="E28">
        <v>-5.3069999999999999E-2</v>
      </c>
    </row>
    <row r="29" spans="1:20" ht="15.75" thickBot="1" x14ac:dyDescent="0.3"/>
    <row r="30" spans="1:20" x14ac:dyDescent="0.25">
      <c r="O30" s="30"/>
      <c r="P30" s="31"/>
      <c r="Q30" s="31"/>
      <c r="R30" s="31"/>
      <c r="S30" s="31"/>
      <c r="T30" s="32"/>
    </row>
    <row r="31" spans="1:20" x14ac:dyDescent="0.25">
      <c r="C31" s="58" t="s">
        <v>295</v>
      </c>
      <c r="G31" s="58" t="s">
        <v>285</v>
      </c>
      <c r="K31" s="58" t="s">
        <v>376</v>
      </c>
      <c r="O31" s="33"/>
      <c r="P31" s="13"/>
      <c r="Q31" s="60" t="s">
        <v>294</v>
      </c>
      <c r="R31" s="13"/>
      <c r="S31" s="13"/>
      <c r="T31" s="36"/>
    </row>
    <row r="32" spans="1:20" ht="29.25" customHeight="1" x14ac:dyDescent="0.25">
      <c r="A32" s="1" t="s">
        <v>286</v>
      </c>
      <c r="B32" s="57" t="s">
        <v>1</v>
      </c>
      <c r="C32" s="56" t="s">
        <v>290</v>
      </c>
      <c r="D32" s="56" t="s">
        <v>288</v>
      </c>
      <c r="E32" s="56" t="s">
        <v>289</v>
      </c>
      <c r="G32" s="56" t="s">
        <v>291</v>
      </c>
      <c r="H32" s="56" t="s">
        <v>292</v>
      </c>
      <c r="I32" s="56" t="s">
        <v>293</v>
      </c>
      <c r="K32" s="56" t="s">
        <v>291</v>
      </c>
      <c r="L32" s="56" t="s">
        <v>292</v>
      </c>
      <c r="M32" s="56" t="s">
        <v>293</v>
      </c>
      <c r="O32" s="33"/>
      <c r="P32" s="13"/>
      <c r="Q32" s="61" t="s">
        <v>291</v>
      </c>
      <c r="R32" s="61" t="s">
        <v>292</v>
      </c>
      <c r="S32" s="61" t="s">
        <v>293</v>
      </c>
      <c r="T32" s="36"/>
    </row>
    <row r="33" spans="1:20" x14ac:dyDescent="0.25">
      <c r="A33" s="1" t="s">
        <v>287</v>
      </c>
      <c r="B33">
        <v>1</v>
      </c>
      <c r="C33" s="6">
        <f>$C$22*$B33^2+$C$23*$B33+$C$24</f>
        <v>6.4164319999999995</v>
      </c>
      <c r="D33" s="6">
        <f>$D$22*$B33^2+$D$23*$B33+$D$24</f>
        <v>2.6253500000000001</v>
      </c>
      <c r="E33" s="6">
        <f>$E$27*EXP($E$28*$B33)</f>
        <v>25.471704053583647</v>
      </c>
      <c r="G33" s="6">
        <f>C33/C$103</f>
        <v>11.36230857499047</v>
      </c>
      <c r="H33" s="6">
        <f>D33/D$103</f>
        <v>4.2354601919819315</v>
      </c>
      <c r="I33" s="6">
        <f t="shared" ref="I33" si="0">E33/E$103</f>
        <v>41.054481430970398</v>
      </c>
      <c r="K33" s="6">
        <f>G33</f>
        <v>11.36230857499047</v>
      </c>
      <c r="L33" s="6">
        <f>IF(H33&lt;=G33,H33,G33)</f>
        <v>4.2354601919819315</v>
      </c>
      <c r="M33" s="6">
        <f>IF(I33&gt;=G33,I33,G33)</f>
        <v>41.054481430970398</v>
      </c>
      <c r="O33" s="33"/>
      <c r="P33" s="13" t="s">
        <v>250</v>
      </c>
      <c r="Q33" s="13">
        <v>1.2979999999999999E-3</v>
      </c>
      <c r="R33" s="13">
        <v>0</v>
      </c>
      <c r="S33" s="13"/>
      <c r="T33" s="36"/>
    </row>
    <row r="34" spans="1:20" x14ac:dyDescent="0.25">
      <c r="A34" s="1" t="s">
        <v>297</v>
      </c>
      <c r="B34">
        <v>2</v>
      </c>
      <c r="C34" s="6">
        <f>$C$22*$B34^2+$C$23*$B34+$C$24</f>
        <v>6.2823279999999997</v>
      </c>
      <c r="D34" s="6">
        <f>$D$22*$B34^2+$D$23*$B34+$D$24</f>
        <v>2.5966999999999998</v>
      </c>
      <c r="E34" s="6">
        <f>$E$27*EXP($E$28*$B34)</f>
        <v>24.1551640876154</v>
      </c>
      <c r="G34" s="6">
        <f t="shared" ref="G34:G97" si="1">C34/C$103</f>
        <v>11.124835314284129</v>
      </c>
      <c r="H34" s="6">
        <f t="shared" ref="H34:H97" si="2">D34/D$103</f>
        <v>4.1892393320964745</v>
      </c>
      <c r="I34" s="6">
        <f t="shared" ref="I34:I97" si="3">E34/E$103</f>
        <v>38.93252423987429</v>
      </c>
      <c r="K34" s="6">
        <f t="shared" ref="K34:K97" si="4">G34</f>
        <v>11.124835314284129</v>
      </c>
      <c r="L34" s="6">
        <f t="shared" ref="L34:L97" si="5">IF(H34&lt;=G34,H34,G34)</f>
        <v>4.1892393320964745</v>
      </c>
      <c r="M34" s="6">
        <f t="shared" ref="M34:M97" si="6">IF(I34&gt;=G34,I34,G34)</f>
        <v>38.93252423987429</v>
      </c>
      <c r="O34" s="33"/>
      <c r="P34" s="13" t="s">
        <v>251</v>
      </c>
      <c r="Q34" s="13">
        <v>-0.24160000000000001</v>
      </c>
      <c r="R34" s="13">
        <v>-4.6359999999999998E-2</v>
      </c>
      <c r="S34" s="13"/>
      <c r="T34" s="36"/>
    </row>
    <row r="35" spans="1:20" x14ac:dyDescent="0.25">
      <c r="A35" s="1" t="s">
        <v>296</v>
      </c>
      <c r="B35">
        <v>3</v>
      </c>
      <c r="C35" s="6">
        <f t="shared" ref="C35:C98" si="7">$C$22*$B35^2+$C$23*$B35+$C$24</f>
        <v>6.1496879999999994</v>
      </c>
      <c r="D35" s="6">
        <f t="shared" ref="D35:D98" si="8">$D$22*$B35^2+$D$23*$B35+$D$24</f>
        <v>2.5680499999999999</v>
      </c>
      <c r="E35" s="6">
        <f t="shared" ref="E35:E98" si="9">$E$27*EXP($E$28*$B35)</f>
        <v>22.906671295811289</v>
      </c>
      <c r="G35" s="6">
        <f t="shared" si="1"/>
        <v>10.889954525492671</v>
      </c>
      <c r="H35" s="6">
        <f t="shared" si="2"/>
        <v>4.1430184722110184</v>
      </c>
      <c r="I35" s="6">
        <f t="shared" si="3"/>
        <v>36.920243317090446</v>
      </c>
      <c r="K35" s="6">
        <f t="shared" si="4"/>
        <v>10.889954525492671</v>
      </c>
      <c r="L35" s="6">
        <f t="shared" si="5"/>
        <v>4.1430184722110184</v>
      </c>
      <c r="M35" s="6">
        <f t="shared" si="6"/>
        <v>36.920243317090446</v>
      </c>
      <c r="O35" s="33"/>
      <c r="P35" s="13" t="s">
        <v>252</v>
      </c>
      <c r="Q35" s="13">
        <v>11.61</v>
      </c>
      <c r="R35" s="13">
        <v>4.2880000000000003</v>
      </c>
      <c r="S35" s="13"/>
      <c r="T35" s="36"/>
    </row>
    <row r="36" spans="1:20" x14ac:dyDescent="0.25">
      <c r="B36">
        <v>4</v>
      </c>
      <c r="C36" s="6">
        <f t="shared" si="7"/>
        <v>6.0185119999999994</v>
      </c>
      <c r="D36" s="6">
        <f t="shared" si="8"/>
        <v>2.5394000000000001</v>
      </c>
      <c r="E36" s="6">
        <f t="shared" si="9"/>
        <v>21.722708566627873</v>
      </c>
      <c r="G36" s="6">
        <f t="shared" si="1"/>
        <v>10.657666208616105</v>
      </c>
      <c r="H36" s="6">
        <f t="shared" si="2"/>
        <v>4.0967976123255623</v>
      </c>
      <c r="I36" s="6">
        <f t="shared" si="3"/>
        <v>35.011969894237801</v>
      </c>
      <c r="K36" s="6">
        <f t="shared" si="4"/>
        <v>10.657666208616105</v>
      </c>
      <c r="L36" s="6">
        <f t="shared" si="5"/>
        <v>4.0967976123255623</v>
      </c>
      <c r="M36" s="6">
        <f t="shared" si="6"/>
        <v>35.011969894237801</v>
      </c>
      <c r="O36" s="33"/>
      <c r="P36" s="13"/>
      <c r="Q36" s="13"/>
      <c r="R36" s="13"/>
      <c r="S36" s="13"/>
      <c r="T36" s="36"/>
    </row>
    <row r="37" spans="1:20" x14ac:dyDescent="0.25">
      <c r="B37">
        <v>5</v>
      </c>
      <c r="C37" s="6">
        <f t="shared" si="7"/>
        <v>5.8887999999999998</v>
      </c>
      <c r="D37" s="6">
        <f t="shared" si="8"/>
        <v>2.5107499999999998</v>
      </c>
      <c r="E37" s="6">
        <f t="shared" si="9"/>
        <v>20.599940575256568</v>
      </c>
      <c r="G37" s="6">
        <f t="shared" si="1"/>
        <v>10.427970363654424</v>
      </c>
      <c r="H37" s="6">
        <f t="shared" si="2"/>
        <v>4.0505767524401062</v>
      </c>
      <c r="I37" s="6">
        <f t="shared" si="3"/>
        <v>33.202328201005422</v>
      </c>
      <c r="K37" s="6">
        <f t="shared" si="4"/>
        <v>10.427970363654424</v>
      </c>
      <c r="L37" s="6">
        <f t="shared" si="5"/>
        <v>4.0505767524401062</v>
      </c>
      <c r="M37" s="6">
        <f t="shared" si="6"/>
        <v>33.202328201005422</v>
      </c>
      <c r="O37" s="33"/>
      <c r="P37" s="13" t="s">
        <v>0</v>
      </c>
      <c r="Q37" s="13"/>
      <c r="R37" s="13"/>
      <c r="S37" s="13">
        <v>43.01</v>
      </c>
      <c r="T37" s="36"/>
    </row>
    <row r="38" spans="1:20" x14ac:dyDescent="0.25">
      <c r="B38">
        <v>6</v>
      </c>
      <c r="C38" s="6">
        <f t="shared" si="7"/>
        <v>5.7605519999999997</v>
      </c>
      <c r="D38" s="6">
        <f t="shared" si="8"/>
        <v>2.4821</v>
      </c>
      <c r="E38" s="6">
        <f t="shared" si="9"/>
        <v>19.535204387726914</v>
      </c>
      <c r="G38" s="6">
        <f t="shared" si="1"/>
        <v>10.200866990607631</v>
      </c>
      <c r="H38" s="6">
        <f t="shared" si="2"/>
        <v>4.0043558925546501</v>
      </c>
      <c r="I38" s="6">
        <f t="shared" si="3"/>
        <v>31.48622032114536</v>
      </c>
      <c r="K38" s="6">
        <f t="shared" si="4"/>
        <v>10.200866990607631</v>
      </c>
      <c r="L38" s="6">
        <f t="shared" si="5"/>
        <v>4.0043558925546501</v>
      </c>
      <c r="M38" s="6">
        <f t="shared" si="6"/>
        <v>31.48622032114536</v>
      </c>
      <c r="O38" s="33"/>
      <c r="P38" s="13" t="s">
        <v>213</v>
      </c>
      <c r="Q38" s="13"/>
      <c r="R38" s="13"/>
      <c r="S38" s="13">
        <v>-5.2929999999999998E-2</v>
      </c>
      <c r="T38" s="36"/>
    </row>
    <row r="39" spans="1:20" x14ac:dyDescent="0.25">
      <c r="B39">
        <v>7</v>
      </c>
      <c r="C39" s="6">
        <f t="shared" si="7"/>
        <v>5.6337679999999999</v>
      </c>
      <c r="D39" s="6">
        <f t="shared" si="8"/>
        <v>2.4534500000000001</v>
      </c>
      <c r="E39" s="6">
        <f t="shared" si="9"/>
        <v>18.525500550649618</v>
      </c>
      <c r="G39" s="6">
        <f t="shared" si="1"/>
        <v>9.9763560894757273</v>
      </c>
      <c r="H39" s="6">
        <f t="shared" si="2"/>
        <v>3.9581350326691944</v>
      </c>
      <c r="I39" s="6">
        <f t="shared" si="3"/>
        <v>29.85881183120425</v>
      </c>
      <c r="K39" s="6">
        <f t="shared" si="4"/>
        <v>9.9763560894757273</v>
      </c>
      <c r="L39" s="6">
        <f t="shared" si="5"/>
        <v>3.9581350326691944</v>
      </c>
      <c r="M39" s="6">
        <f t="shared" si="6"/>
        <v>29.85881183120425</v>
      </c>
      <c r="O39" s="33"/>
      <c r="P39" s="13"/>
      <c r="Q39" s="13"/>
      <c r="R39" s="13"/>
      <c r="S39" s="13"/>
      <c r="T39" s="36"/>
    </row>
    <row r="40" spans="1:20" ht="15.75" thickBot="1" x14ac:dyDescent="0.3">
      <c r="B40">
        <v>8</v>
      </c>
      <c r="C40" s="6">
        <f t="shared" si="7"/>
        <v>5.5084479999999996</v>
      </c>
      <c r="D40" s="6">
        <f t="shared" si="8"/>
        <v>2.4247999999999998</v>
      </c>
      <c r="E40" s="6">
        <f t="shared" si="9"/>
        <v>17.567984641498434</v>
      </c>
      <c r="G40" s="6">
        <f t="shared" si="1"/>
        <v>9.7544376602587093</v>
      </c>
      <c r="H40" s="6">
        <f t="shared" si="2"/>
        <v>3.9119141727837379</v>
      </c>
      <c r="I40" s="6">
        <f t="shared" si="3"/>
        <v>28.315518181536731</v>
      </c>
      <c r="K40" s="6">
        <f t="shared" si="4"/>
        <v>9.7544376602587093</v>
      </c>
      <c r="L40" s="6">
        <f t="shared" si="5"/>
        <v>3.9119141727837379</v>
      </c>
      <c r="M40" s="6">
        <f t="shared" si="6"/>
        <v>28.315518181536731</v>
      </c>
      <c r="O40" s="38"/>
      <c r="P40" s="39"/>
      <c r="Q40" s="39"/>
      <c r="R40" s="39"/>
      <c r="S40" s="39"/>
      <c r="T40" s="40"/>
    </row>
    <row r="41" spans="1:20" x14ac:dyDescent="0.25">
      <c r="B41">
        <v>9</v>
      </c>
      <c r="C41" s="6">
        <f t="shared" si="7"/>
        <v>5.3845919999999996</v>
      </c>
      <c r="D41" s="6">
        <f t="shared" si="8"/>
        <v>2.39615</v>
      </c>
      <c r="E41" s="6">
        <f t="shared" si="9"/>
        <v>16.65995925562736</v>
      </c>
      <c r="G41" s="6">
        <f t="shared" si="1"/>
        <v>9.5351117029565788</v>
      </c>
      <c r="H41" s="6">
        <f t="shared" si="2"/>
        <v>3.8656933128982818</v>
      </c>
      <c r="I41" s="6">
        <f t="shared" si="3"/>
        <v>26.851991781234943</v>
      </c>
      <c r="K41" s="6">
        <f t="shared" si="4"/>
        <v>9.5351117029565788</v>
      </c>
      <c r="L41" s="6">
        <f t="shared" si="5"/>
        <v>3.8656933128982818</v>
      </c>
      <c r="M41" s="6">
        <f t="shared" si="6"/>
        <v>26.851991781234943</v>
      </c>
    </row>
    <row r="42" spans="1:20" x14ac:dyDescent="0.25">
      <c r="B42">
        <v>10</v>
      </c>
      <c r="C42" s="6">
        <f t="shared" si="7"/>
        <v>5.2622</v>
      </c>
      <c r="D42" s="6">
        <f t="shared" si="8"/>
        <v>2.3674999999999997</v>
      </c>
      <c r="E42" s="6">
        <f t="shared" si="9"/>
        <v>15.798866407449809</v>
      </c>
      <c r="G42" s="6">
        <f t="shared" si="1"/>
        <v>9.3183782175693377</v>
      </c>
      <c r="H42" s="6">
        <f t="shared" si="2"/>
        <v>3.8194724530128252</v>
      </c>
      <c r="I42" s="6">
        <f t="shared" si="3"/>
        <v>25.464109750591103</v>
      </c>
      <c r="K42" s="6">
        <f t="shared" si="4"/>
        <v>9.3183782175693377</v>
      </c>
      <c r="L42" s="6">
        <f t="shared" si="5"/>
        <v>3.8194724530128252</v>
      </c>
      <c r="M42" s="6">
        <f t="shared" si="6"/>
        <v>25.464109750591103</v>
      </c>
    </row>
    <row r="43" spans="1:20" x14ac:dyDescent="0.25">
      <c r="B43">
        <v>11</v>
      </c>
      <c r="C43" s="6">
        <f t="shared" si="7"/>
        <v>5.1412719999999998</v>
      </c>
      <c r="D43" s="6">
        <f t="shared" si="8"/>
        <v>2.3388499999999999</v>
      </c>
      <c r="E43" s="6">
        <f t="shared" si="9"/>
        <v>14.982280324373262</v>
      </c>
      <c r="G43" s="6">
        <f t="shared" si="1"/>
        <v>9.1042372040969823</v>
      </c>
      <c r="H43" s="6">
        <f t="shared" si="2"/>
        <v>3.7732515931273691</v>
      </c>
      <c r="I43" s="6">
        <f t="shared" si="3"/>
        <v>24.147962306590848</v>
      </c>
      <c r="K43" s="6">
        <f t="shared" si="4"/>
        <v>9.1042372040969823</v>
      </c>
      <c r="L43" s="6">
        <f t="shared" si="5"/>
        <v>3.7732515931273691</v>
      </c>
      <c r="M43" s="6">
        <f t="shared" si="6"/>
        <v>24.147962306590848</v>
      </c>
    </row>
    <row r="44" spans="1:20" x14ac:dyDescent="0.25">
      <c r="B44">
        <v>12</v>
      </c>
      <c r="C44" s="6">
        <f t="shared" si="7"/>
        <v>5.0218079999999992</v>
      </c>
      <c r="D44" s="6">
        <f t="shared" si="8"/>
        <v>2.3102</v>
      </c>
      <c r="E44" s="6">
        <f t="shared" si="9"/>
        <v>14.207900613189313</v>
      </c>
      <c r="G44" s="6">
        <f t="shared" si="1"/>
        <v>8.8926886625395145</v>
      </c>
      <c r="H44" s="6">
        <f t="shared" si="2"/>
        <v>3.7270307332419135</v>
      </c>
      <c r="I44" s="6">
        <f t="shared" si="3"/>
        <v>22.899841748718366</v>
      </c>
      <c r="K44" s="6">
        <f t="shared" si="4"/>
        <v>8.8926886625395145</v>
      </c>
      <c r="L44" s="6">
        <f t="shared" si="5"/>
        <v>3.7270307332419135</v>
      </c>
      <c r="M44" s="6">
        <f t="shared" si="6"/>
        <v>22.899841748718366</v>
      </c>
    </row>
    <row r="45" spans="1:20" x14ac:dyDescent="0.25">
      <c r="B45">
        <v>13</v>
      </c>
      <c r="C45" s="6">
        <f t="shared" si="7"/>
        <v>4.9038079999999997</v>
      </c>
      <c r="D45" s="6">
        <f t="shared" si="8"/>
        <v>2.2815499999999997</v>
      </c>
      <c r="E45" s="6">
        <f t="shared" si="9"/>
        <v>13.473545779668198</v>
      </c>
      <c r="G45" s="6">
        <f t="shared" si="1"/>
        <v>8.683732592896936</v>
      </c>
      <c r="H45" s="6">
        <f t="shared" si="2"/>
        <v>3.6808098733564569</v>
      </c>
      <c r="I45" s="6">
        <f t="shared" si="3"/>
        <v>21.716232014045183</v>
      </c>
      <c r="K45" s="6">
        <f t="shared" si="4"/>
        <v>8.683732592896936</v>
      </c>
      <c r="L45" s="6">
        <f t="shared" si="5"/>
        <v>3.6808098733564569</v>
      </c>
      <c r="M45" s="6">
        <f t="shared" si="6"/>
        <v>21.716232014045183</v>
      </c>
    </row>
    <row r="46" spans="1:20" x14ac:dyDescent="0.25">
      <c r="B46">
        <v>14</v>
      </c>
      <c r="C46" s="6">
        <f t="shared" si="7"/>
        <v>4.7872719999999997</v>
      </c>
      <c r="D46" s="6">
        <f t="shared" si="8"/>
        <v>2.2528999999999999</v>
      </c>
      <c r="E46" s="6">
        <f t="shared" si="9"/>
        <v>12.777147083101985</v>
      </c>
      <c r="G46" s="6">
        <f t="shared" si="1"/>
        <v>8.4773689951692432</v>
      </c>
      <c r="H46" s="6">
        <f t="shared" si="2"/>
        <v>3.6345890134710008</v>
      </c>
      <c r="I46" s="6">
        <f t="shared" si="3"/>
        <v>20.593798772178619</v>
      </c>
      <c r="K46" s="6">
        <f t="shared" si="4"/>
        <v>8.4773689951692432</v>
      </c>
      <c r="L46" s="6">
        <f t="shared" si="5"/>
        <v>3.6345890134710008</v>
      </c>
      <c r="M46" s="6">
        <f t="shared" si="6"/>
        <v>20.593798772178619</v>
      </c>
    </row>
    <row r="47" spans="1:20" x14ac:dyDescent="0.25">
      <c r="B47">
        <v>15</v>
      </c>
      <c r="C47" s="6">
        <f t="shared" si="7"/>
        <v>4.6721999999999992</v>
      </c>
      <c r="D47" s="6">
        <f t="shared" si="8"/>
        <v>2.2242500000000001</v>
      </c>
      <c r="E47" s="6">
        <f t="shared" si="9"/>
        <v>12.116742708484113</v>
      </c>
      <c r="G47" s="6">
        <f t="shared" si="1"/>
        <v>8.273597869356438</v>
      </c>
      <c r="H47" s="6">
        <f t="shared" si="2"/>
        <v>3.5883681535855447</v>
      </c>
      <c r="I47" s="6">
        <f t="shared" si="3"/>
        <v>19.529380032166344</v>
      </c>
      <c r="K47" s="6">
        <f t="shared" si="4"/>
        <v>8.273597869356438</v>
      </c>
      <c r="L47" s="6">
        <f t="shared" si="5"/>
        <v>3.5883681535855447</v>
      </c>
      <c r="M47" s="6">
        <f t="shared" si="6"/>
        <v>19.529380032166344</v>
      </c>
    </row>
    <row r="48" spans="1:20" x14ac:dyDescent="0.25">
      <c r="B48">
        <v>16</v>
      </c>
      <c r="C48" s="6">
        <f t="shared" si="7"/>
        <v>4.5585919999999991</v>
      </c>
      <c r="D48" s="6">
        <f t="shared" si="8"/>
        <v>2.1955999999999998</v>
      </c>
      <c r="E48" s="6">
        <f t="shared" si="9"/>
        <v>11.490472239907852</v>
      </c>
      <c r="G48" s="6">
        <f t="shared" si="1"/>
        <v>8.0724192154585221</v>
      </c>
      <c r="H48" s="6">
        <f t="shared" si="2"/>
        <v>3.5421472937000882</v>
      </c>
      <c r="I48" s="6">
        <f t="shared" si="3"/>
        <v>18.519977234896018</v>
      </c>
      <c r="K48" s="6">
        <f t="shared" si="4"/>
        <v>8.0724192154585221</v>
      </c>
      <c r="L48" s="6">
        <f t="shared" si="5"/>
        <v>3.5421472937000882</v>
      </c>
      <c r="M48" s="6">
        <f t="shared" si="6"/>
        <v>18.519977234896018</v>
      </c>
    </row>
    <row r="49" spans="2:13" x14ac:dyDescent="0.25">
      <c r="B49">
        <v>17</v>
      </c>
      <c r="C49" s="6">
        <f t="shared" si="7"/>
        <v>4.4464480000000002</v>
      </c>
      <c r="D49" s="6">
        <f t="shared" si="8"/>
        <v>2.1669499999999999</v>
      </c>
      <c r="E49" s="6">
        <f t="shared" si="9"/>
        <v>10.896571419614713</v>
      </c>
      <c r="G49" s="6">
        <f t="shared" si="1"/>
        <v>7.8738330334754947</v>
      </c>
      <c r="H49" s="6">
        <f t="shared" si="2"/>
        <v>3.4959264338146325</v>
      </c>
      <c r="I49" s="6">
        <f t="shared" si="3"/>
        <v>17.562746805896417</v>
      </c>
      <c r="K49" s="6">
        <f t="shared" si="4"/>
        <v>7.8738330334754947</v>
      </c>
      <c r="L49" s="6">
        <f t="shared" si="5"/>
        <v>3.4959264338146325</v>
      </c>
      <c r="M49" s="6">
        <f t="shared" si="6"/>
        <v>17.562746805896417</v>
      </c>
    </row>
    <row r="50" spans="2:13" x14ac:dyDescent="0.25">
      <c r="B50">
        <v>18</v>
      </c>
      <c r="C50" s="6">
        <f t="shared" si="7"/>
        <v>4.3357679999999998</v>
      </c>
      <c r="D50" s="6">
        <f t="shared" si="8"/>
        <v>2.1383000000000001</v>
      </c>
      <c r="E50" s="6">
        <f t="shared" si="9"/>
        <v>10.333367177928659</v>
      </c>
      <c r="G50" s="6">
        <f t="shared" si="1"/>
        <v>7.6778393234073521</v>
      </c>
      <c r="H50" s="6">
        <f t="shared" si="2"/>
        <v>3.4497055739291764</v>
      </c>
      <c r="I50" s="6">
        <f t="shared" si="3"/>
        <v>16.65499214474367</v>
      </c>
      <c r="K50" s="6">
        <f t="shared" si="4"/>
        <v>7.6778393234073521</v>
      </c>
      <c r="L50" s="6">
        <f t="shared" si="5"/>
        <v>3.4497055739291764</v>
      </c>
      <c r="M50" s="6">
        <f t="shared" si="6"/>
        <v>16.65499214474367</v>
      </c>
    </row>
    <row r="51" spans="2:13" x14ac:dyDescent="0.25">
      <c r="B51">
        <v>19</v>
      </c>
      <c r="C51" s="6">
        <f t="shared" si="7"/>
        <v>4.2265519999999999</v>
      </c>
      <c r="D51" s="6">
        <f t="shared" si="8"/>
        <v>2.1096499999999998</v>
      </c>
      <c r="E51" s="6">
        <f t="shared" si="9"/>
        <v>9.7992729200749693</v>
      </c>
      <c r="G51" s="6">
        <f t="shared" si="1"/>
        <v>7.4844380852540979</v>
      </c>
      <c r="H51" s="6">
        <f t="shared" si="2"/>
        <v>3.4034847140437199</v>
      </c>
      <c r="I51" s="6">
        <f t="shared" si="3"/>
        <v>15.794156028506002</v>
      </c>
      <c r="K51" s="6">
        <f t="shared" si="4"/>
        <v>7.4844380852540979</v>
      </c>
      <c r="L51" s="6">
        <f t="shared" si="5"/>
        <v>3.4034847140437199</v>
      </c>
      <c r="M51" s="6">
        <f t="shared" si="6"/>
        <v>15.794156028506002</v>
      </c>
    </row>
    <row r="52" spans="2:13" x14ac:dyDescent="0.25">
      <c r="B52">
        <v>20</v>
      </c>
      <c r="C52" s="6">
        <f t="shared" si="7"/>
        <v>4.1188000000000002</v>
      </c>
      <c r="D52" s="6">
        <f t="shared" si="8"/>
        <v>2.081</v>
      </c>
      <c r="E52" s="6">
        <f t="shared" si="9"/>
        <v>9.2927840566063313</v>
      </c>
      <c r="G52" s="6">
        <f t="shared" si="1"/>
        <v>7.2936293190157331</v>
      </c>
      <c r="H52" s="6">
        <f t="shared" si="2"/>
        <v>3.3572638541582638</v>
      </c>
      <c r="I52" s="6">
        <f t="shared" si="3"/>
        <v>14.97781340782684</v>
      </c>
      <c r="K52" s="6">
        <f t="shared" si="4"/>
        <v>7.2936293190157331</v>
      </c>
      <c r="L52" s="6">
        <f t="shared" si="5"/>
        <v>3.3572638541582638</v>
      </c>
      <c r="M52" s="6">
        <f t="shared" si="6"/>
        <v>14.97781340782684</v>
      </c>
    </row>
    <row r="53" spans="2:13" x14ac:dyDescent="0.25">
      <c r="B53">
        <v>21</v>
      </c>
      <c r="C53" s="6">
        <f t="shared" si="7"/>
        <v>4.0125119999999992</v>
      </c>
      <c r="D53" s="6">
        <f t="shared" si="8"/>
        <v>2.0523499999999997</v>
      </c>
      <c r="E53" s="6">
        <f t="shared" si="9"/>
        <v>8.8124737648450076</v>
      </c>
      <c r="G53" s="6">
        <f t="shared" si="1"/>
        <v>7.1054130246922522</v>
      </c>
      <c r="H53" s="6">
        <f t="shared" si="2"/>
        <v>3.3110429942728072</v>
      </c>
      <c r="I53" s="6">
        <f t="shared" si="3"/>
        <v>14.203664575352281</v>
      </c>
      <c r="K53" s="6">
        <f t="shared" si="4"/>
        <v>7.1054130246922522</v>
      </c>
      <c r="L53" s="6">
        <f t="shared" si="5"/>
        <v>3.3110429942728072</v>
      </c>
      <c r="M53" s="6">
        <f t="shared" si="6"/>
        <v>14.203664575352281</v>
      </c>
    </row>
    <row r="54" spans="2:13" x14ac:dyDescent="0.25">
      <c r="B54">
        <v>22</v>
      </c>
      <c r="C54" s="6">
        <f t="shared" si="7"/>
        <v>3.9076879999999994</v>
      </c>
      <c r="D54" s="6">
        <f t="shared" si="8"/>
        <v>2.0236999999999998</v>
      </c>
      <c r="E54" s="6">
        <f t="shared" si="9"/>
        <v>8.3569889694006765</v>
      </c>
      <c r="G54" s="6">
        <f t="shared" si="1"/>
        <v>6.9197892022836616</v>
      </c>
      <c r="H54" s="6">
        <f t="shared" si="2"/>
        <v>3.2648221343873516</v>
      </c>
      <c r="I54" s="6">
        <f t="shared" si="3"/>
        <v>13.469528687257753</v>
      </c>
      <c r="K54" s="6">
        <f t="shared" si="4"/>
        <v>6.9197892022836616</v>
      </c>
      <c r="L54" s="6">
        <f t="shared" si="5"/>
        <v>3.2648221343873516</v>
      </c>
      <c r="M54" s="6">
        <f t="shared" si="6"/>
        <v>13.469528687257753</v>
      </c>
    </row>
    <row r="55" spans="2:13" x14ac:dyDescent="0.25">
      <c r="B55">
        <v>23</v>
      </c>
      <c r="C55" s="6">
        <f t="shared" si="7"/>
        <v>3.8043279999999995</v>
      </c>
      <c r="D55" s="6">
        <f t="shared" si="8"/>
        <v>1.99505</v>
      </c>
      <c r="E55" s="6">
        <f t="shared" si="9"/>
        <v>7.9250465304406941</v>
      </c>
      <c r="G55" s="6">
        <f t="shared" si="1"/>
        <v>6.7367578517899576</v>
      </c>
      <c r="H55" s="6">
        <f t="shared" si="2"/>
        <v>3.2186012745018955</v>
      </c>
      <c r="I55" s="6">
        <f t="shared" si="3"/>
        <v>12.773337619623401</v>
      </c>
      <c r="K55" s="6">
        <f t="shared" si="4"/>
        <v>6.7367578517899576</v>
      </c>
      <c r="L55" s="6">
        <f t="shared" si="5"/>
        <v>3.2186012745018955</v>
      </c>
      <c r="M55" s="6">
        <f t="shared" si="6"/>
        <v>12.773337619623401</v>
      </c>
    </row>
    <row r="56" spans="2:13" x14ac:dyDescent="0.25">
      <c r="B56">
        <v>24</v>
      </c>
      <c r="C56" s="6">
        <f t="shared" si="7"/>
        <v>3.7024319999999991</v>
      </c>
      <c r="D56" s="6">
        <f t="shared" si="8"/>
        <v>1.9663999999999999</v>
      </c>
      <c r="E56" s="6">
        <f t="shared" si="9"/>
        <v>7.5154296289748794</v>
      </c>
      <c r="G56" s="6">
        <f t="shared" si="1"/>
        <v>6.5563189732111411</v>
      </c>
      <c r="H56" s="6">
        <f t="shared" si="2"/>
        <v>3.1723804146164394</v>
      </c>
      <c r="I56" s="6">
        <f t="shared" si="3"/>
        <v>12.113130142351224</v>
      </c>
      <c r="K56" s="6">
        <f t="shared" si="4"/>
        <v>6.5563189732111411</v>
      </c>
      <c r="L56" s="6">
        <f t="shared" si="5"/>
        <v>3.1723804146164394</v>
      </c>
      <c r="M56" s="6">
        <f t="shared" si="6"/>
        <v>12.113130142351224</v>
      </c>
    </row>
    <row r="57" spans="2:13" x14ac:dyDescent="0.25">
      <c r="B57">
        <v>25</v>
      </c>
      <c r="C57" s="6">
        <f t="shared" si="7"/>
        <v>3.6019999999999994</v>
      </c>
      <c r="D57" s="6">
        <f t="shared" si="8"/>
        <v>1.9377499999999999</v>
      </c>
      <c r="E57" s="6">
        <f t="shared" si="9"/>
        <v>7.1269843389717833</v>
      </c>
      <c r="G57" s="6">
        <f t="shared" si="1"/>
        <v>6.378472566547214</v>
      </c>
      <c r="H57" s="6">
        <f t="shared" si="2"/>
        <v>3.1261595547309828</v>
      </c>
      <c r="I57" s="6">
        <f t="shared" si="3"/>
        <v>11.487046394211243</v>
      </c>
      <c r="K57" s="6">
        <f t="shared" si="4"/>
        <v>6.378472566547214</v>
      </c>
      <c r="L57" s="6">
        <f t="shared" si="5"/>
        <v>3.1261595547309828</v>
      </c>
      <c r="M57" s="6">
        <f t="shared" si="6"/>
        <v>11.487046394211243</v>
      </c>
    </row>
    <row r="58" spans="2:13" x14ac:dyDescent="0.25">
      <c r="B58">
        <v>26</v>
      </c>
      <c r="C58" s="6">
        <f t="shared" si="7"/>
        <v>3.5030319999999997</v>
      </c>
      <c r="D58" s="6">
        <f t="shared" si="8"/>
        <v>1.9091</v>
      </c>
      <c r="E58" s="6">
        <f t="shared" si="9"/>
        <v>6.7586163766498411</v>
      </c>
      <c r="G58" s="6">
        <f t="shared" si="1"/>
        <v>6.2032186317981735</v>
      </c>
      <c r="H58" s="6">
        <f t="shared" si="2"/>
        <v>3.0799386948455272</v>
      </c>
      <c r="I58" s="6">
        <f t="shared" si="3"/>
        <v>10.893322643452491</v>
      </c>
      <c r="K58" s="6">
        <f t="shared" si="4"/>
        <v>6.2032186317981735</v>
      </c>
      <c r="L58" s="6">
        <f t="shared" si="5"/>
        <v>3.0799386948455272</v>
      </c>
      <c r="M58" s="6">
        <f t="shared" si="6"/>
        <v>10.893322643452491</v>
      </c>
    </row>
    <row r="59" spans="2:13" x14ac:dyDescent="0.25">
      <c r="B59">
        <v>27</v>
      </c>
      <c r="C59" s="6">
        <f t="shared" si="7"/>
        <v>3.4055279999999994</v>
      </c>
      <c r="D59" s="6">
        <f t="shared" si="8"/>
        <v>1.88045</v>
      </c>
      <c r="E59" s="6">
        <f t="shared" si="9"/>
        <v>6.4092880177858733</v>
      </c>
      <c r="G59" s="6">
        <f t="shared" si="1"/>
        <v>6.0305571689640196</v>
      </c>
      <c r="H59" s="6">
        <f t="shared" si="2"/>
        <v>3.0337178349600706</v>
      </c>
      <c r="I59" s="6">
        <f t="shared" si="3"/>
        <v>10.330286319219036</v>
      </c>
      <c r="K59" s="6">
        <f t="shared" si="4"/>
        <v>6.0305571689640196</v>
      </c>
      <c r="L59" s="6">
        <f t="shared" si="5"/>
        <v>3.0337178349600706</v>
      </c>
      <c r="M59" s="6">
        <f t="shared" si="6"/>
        <v>10.330286319219036</v>
      </c>
    </row>
    <row r="60" spans="2:13" x14ac:dyDescent="0.25">
      <c r="B60">
        <v>28</v>
      </c>
      <c r="C60" s="6">
        <f t="shared" si="7"/>
        <v>3.3094879999999991</v>
      </c>
      <c r="D60" s="6">
        <f t="shared" si="8"/>
        <v>1.8517999999999999</v>
      </c>
      <c r="E60" s="6">
        <f t="shared" si="9"/>
        <v>6.0780151743567217</v>
      </c>
      <c r="G60" s="6">
        <f t="shared" si="1"/>
        <v>5.8604881780447533</v>
      </c>
      <c r="H60" s="6">
        <f t="shared" si="2"/>
        <v>2.9874969750746145</v>
      </c>
      <c r="I60" s="6">
        <f t="shared" si="3"/>
        <v>9.7963512997740594</v>
      </c>
      <c r="K60" s="6">
        <f t="shared" si="4"/>
        <v>5.8604881780447533</v>
      </c>
      <c r="L60" s="6">
        <f t="shared" si="5"/>
        <v>2.9874969750746145</v>
      </c>
      <c r="M60" s="6">
        <f t="shared" si="6"/>
        <v>9.7963512997740594</v>
      </c>
    </row>
    <row r="61" spans="2:13" x14ac:dyDescent="0.25">
      <c r="B61">
        <v>29</v>
      </c>
      <c r="C61" s="6">
        <f t="shared" si="7"/>
        <v>3.2149119999999995</v>
      </c>
      <c r="D61" s="6">
        <f t="shared" si="8"/>
        <v>1.82315</v>
      </c>
      <c r="E61" s="6">
        <f t="shared" si="9"/>
        <v>5.7638646222786685</v>
      </c>
      <c r="G61" s="6">
        <f t="shared" si="1"/>
        <v>5.6930116590403763</v>
      </c>
      <c r="H61" s="6">
        <f t="shared" si="2"/>
        <v>2.9412761151891589</v>
      </c>
      <c r="I61" s="6">
        <f t="shared" si="3"/>
        <v>9.2900134442585394</v>
      </c>
      <c r="K61" s="6">
        <f t="shared" si="4"/>
        <v>5.6930116590403763</v>
      </c>
      <c r="L61" s="6">
        <f t="shared" si="5"/>
        <v>2.9412761151891589</v>
      </c>
      <c r="M61" s="6">
        <f t="shared" si="6"/>
        <v>9.2900134442585394</v>
      </c>
    </row>
    <row r="62" spans="2:13" x14ac:dyDescent="0.25">
      <c r="B62">
        <v>30</v>
      </c>
      <c r="C62" s="6">
        <f t="shared" si="7"/>
        <v>3.1217999999999995</v>
      </c>
      <c r="D62" s="6">
        <f t="shared" si="8"/>
        <v>1.7945</v>
      </c>
      <c r="E62" s="6">
        <f t="shared" si="9"/>
        <v>5.4659513724349562</v>
      </c>
      <c r="G62" s="6">
        <f t="shared" si="1"/>
        <v>5.528127611950886</v>
      </c>
      <c r="H62" s="6">
        <f t="shared" si="2"/>
        <v>2.8950552553037023</v>
      </c>
      <c r="I62" s="6">
        <f t="shared" si="3"/>
        <v>8.8098463553971254</v>
      </c>
      <c r="K62" s="6">
        <f t="shared" si="4"/>
        <v>5.528127611950886</v>
      </c>
      <c r="L62" s="6">
        <f t="shared" si="5"/>
        <v>2.8950552553037023</v>
      </c>
      <c r="M62" s="6">
        <f t="shared" si="6"/>
        <v>8.8098463553971254</v>
      </c>
    </row>
    <row r="63" spans="2:13" x14ac:dyDescent="0.25">
      <c r="B63">
        <v>31</v>
      </c>
      <c r="C63" s="6">
        <f t="shared" si="7"/>
        <v>3.0301519999999997</v>
      </c>
      <c r="D63" s="6">
        <f t="shared" si="8"/>
        <v>1.7658499999999999</v>
      </c>
      <c r="E63" s="6">
        <f t="shared" si="9"/>
        <v>5.1834361775853521</v>
      </c>
      <c r="G63" s="6">
        <f t="shared" si="1"/>
        <v>5.3658360367762841</v>
      </c>
      <c r="H63" s="6">
        <f t="shared" si="2"/>
        <v>2.8488343954182462</v>
      </c>
      <c r="I63" s="6">
        <f t="shared" si="3"/>
        <v>8.3544973612143725</v>
      </c>
      <c r="K63" s="6">
        <f t="shared" si="4"/>
        <v>5.3658360367762841</v>
      </c>
      <c r="L63" s="6">
        <f t="shared" si="5"/>
        <v>2.8488343954182462</v>
      </c>
      <c r="M63" s="6">
        <f t="shared" si="6"/>
        <v>8.3544973612143725</v>
      </c>
    </row>
    <row r="64" spans="2:13" x14ac:dyDescent="0.25">
      <c r="B64">
        <v>32</v>
      </c>
      <c r="C64" s="6">
        <f t="shared" si="7"/>
        <v>2.9399679999999995</v>
      </c>
      <c r="D64" s="6">
        <f t="shared" si="8"/>
        <v>1.7372000000000001</v>
      </c>
      <c r="E64" s="6">
        <f t="shared" si="9"/>
        <v>4.9155231681345102</v>
      </c>
      <c r="G64" s="6">
        <f t="shared" si="1"/>
        <v>5.2061369335165679</v>
      </c>
      <c r="H64" s="6">
        <f t="shared" si="2"/>
        <v>2.8026135355327901</v>
      </c>
      <c r="I64" s="6">
        <f t="shared" si="3"/>
        <v>7.922683704441476</v>
      </c>
      <c r="K64" s="6">
        <f t="shared" si="4"/>
        <v>5.2061369335165679</v>
      </c>
      <c r="L64" s="6">
        <f t="shared" si="5"/>
        <v>2.8026135355327901</v>
      </c>
      <c r="M64" s="6">
        <f t="shared" si="6"/>
        <v>7.922683704441476</v>
      </c>
    </row>
    <row r="65" spans="2:13" x14ac:dyDescent="0.25">
      <c r="B65">
        <v>33</v>
      </c>
      <c r="C65" s="6">
        <f t="shared" si="7"/>
        <v>2.8512479999999991</v>
      </c>
      <c r="D65" s="6">
        <f t="shared" si="8"/>
        <v>1.70855</v>
      </c>
      <c r="E65" s="6">
        <f t="shared" si="9"/>
        <v>4.6614576100988891</v>
      </c>
      <c r="G65" s="6">
        <f t="shared" si="1"/>
        <v>5.0490303021717402</v>
      </c>
      <c r="H65" s="6">
        <f t="shared" si="2"/>
        <v>2.756392675647334</v>
      </c>
      <c r="I65" s="6">
        <f t="shared" si="3"/>
        <v>7.513188928878745</v>
      </c>
      <c r="K65" s="6">
        <f t="shared" si="4"/>
        <v>5.0490303021717402</v>
      </c>
      <c r="L65" s="6">
        <f t="shared" si="5"/>
        <v>2.756392675647334</v>
      </c>
      <c r="M65" s="6">
        <f t="shared" si="6"/>
        <v>7.513188928878745</v>
      </c>
    </row>
    <row r="66" spans="2:13" x14ac:dyDescent="0.25">
      <c r="B66">
        <v>34</v>
      </c>
      <c r="C66" s="6">
        <f t="shared" si="7"/>
        <v>2.763992</v>
      </c>
      <c r="D66" s="6">
        <f t="shared" si="8"/>
        <v>1.6798999999999999</v>
      </c>
      <c r="E66" s="6">
        <f t="shared" si="9"/>
        <v>4.4205237789562259</v>
      </c>
      <c r="G66" s="6">
        <f t="shared" si="1"/>
        <v>4.8945161427418018</v>
      </c>
      <c r="H66" s="6">
        <f t="shared" si="2"/>
        <v>2.7101718157618779</v>
      </c>
      <c r="I66" s="6">
        <f t="shared" si="3"/>
        <v>7.1248594525338991</v>
      </c>
      <c r="K66" s="6">
        <f t="shared" si="4"/>
        <v>4.8945161427418018</v>
      </c>
      <c r="L66" s="6">
        <f t="shared" si="5"/>
        <v>2.7101718157618779</v>
      </c>
      <c r="M66" s="6">
        <f t="shared" si="6"/>
        <v>7.1248594525338991</v>
      </c>
    </row>
    <row r="67" spans="2:13" x14ac:dyDescent="0.25">
      <c r="B67">
        <v>35</v>
      </c>
      <c r="C67" s="6">
        <f t="shared" si="7"/>
        <v>2.6781999999999995</v>
      </c>
      <c r="D67" s="6">
        <f t="shared" si="8"/>
        <v>1.6512499999999999</v>
      </c>
      <c r="E67" s="6">
        <f t="shared" si="9"/>
        <v>4.1920429433880182</v>
      </c>
      <c r="G67" s="6">
        <f t="shared" si="1"/>
        <v>4.7425944552267483</v>
      </c>
      <c r="H67" s="6">
        <f t="shared" si="2"/>
        <v>2.6639509558764214</v>
      </c>
      <c r="I67" s="6">
        <f t="shared" si="3"/>
        <v>6.7566013178824056</v>
      </c>
      <c r="K67" s="6">
        <f t="shared" si="4"/>
        <v>4.7425944552267483</v>
      </c>
      <c r="L67" s="6">
        <f t="shared" si="5"/>
        <v>2.6639509558764214</v>
      </c>
      <c r="M67" s="6">
        <f t="shared" si="6"/>
        <v>6.7566013178824056</v>
      </c>
    </row>
    <row r="68" spans="2:13" x14ac:dyDescent="0.25">
      <c r="B68">
        <v>36</v>
      </c>
      <c r="C68" s="6">
        <f t="shared" si="7"/>
        <v>2.5938719999999993</v>
      </c>
      <c r="D68" s="6">
        <f t="shared" si="8"/>
        <v>1.6226</v>
      </c>
      <c r="E68" s="6">
        <f t="shared" si="9"/>
        <v>3.975371453235045</v>
      </c>
      <c r="G68" s="6">
        <f t="shared" si="1"/>
        <v>4.5932652396265832</v>
      </c>
      <c r="H68" s="6">
        <f t="shared" si="2"/>
        <v>2.6177300959909657</v>
      </c>
      <c r="I68" s="6">
        <f t="shared" si="3"/>
        <v>6.4073771100950818</v>
      </c>
      <c r="K68" s="6">
        <f t="shared" si="4"/>
        <v>4.5932652396265832</v>
      </c>
      <c r="L68" s="6">
        <f t="shared" si="5"/>
        <v>2.6177300959909657</v>
      </c>
      <c r="M68" s="6">
        <f t="shared" si="6"/>
        <v>6.4073771100950818</v>
      </c>
    </row>
    <row r="69" spans="2:13" x14ac:dyDescent="0.25">
      <c r="B69">
        <v>37</v>
      </c>
      <c r="C69" s="6">
        <f t="shared" si="7"/>
        <v>2.5110079999999995</v>
      </c>
      <c r="D69" s="6">
        <f t="shared" si="8"/>
        <v>1.59395</v>
      </c>
      <c r="E69" s="6">
        <f t="shared" si="9"/>
        <v>3.7698989262795166</v>
      </c>
      <c r="G69" s="6">
        <f t="shared" si="1"/>
        <v>4.4465284959413065</v>
      </c>
      <c r="H69" s="6">
        <f t="shared" si="2"/>
        <v>2.5715092361055092</v>
      </c>
      <c r="I69" s="6">
        <f t="shared" si="3"/>
        <v>6.0762030345513018</v>
      </c>
      <c r="K69" s="6">
        <f t="shared" si="4"/>
        <v>4.4465284959413065</v>
      </c>
      <c r="L69" s="6">
        <f t="shared" si="5"/>
        <v>2.5715092361055092</v>
      </c>
      <c r="M69" s="6">
        <f t="shared" si="6"/>
        <v>6.0762030345513018</v>
      </c>
    </row>
    <row r="70" spans="2:13" x14ac:dyDescent="0.25">
      <c r="B70">
        <v>38</v>
      </c>
      <c r="C70" s="6">
        <f t="shared" si="7"/>
        <v>2.4296079999999991</v>
      </c>
      <c r="D70" s="6">
        <f t="shared" si="8"/>
        <v>1.5652999999999999</v>
      </c>
      <c r="E70" s="6">
        <f t="shared" si="9"/>
        <v>3.5750465287458906</v>
      </c>
      <c r="G70" s="6">
        <f t="shared" si="1"/>
        <v>4.3023842241709156</v>
      </c>
      <c r="H70" s="6">
        <f t="shared" si="2"/>
        <v>2.5252883762200531</v>
      </c>
      <c r="I70" s="6">
        <f t="shared" si="3"/>
        <v>5.7621461454049774</v>
      </c>
      <c r="K70" s="6">
        <f t="shared" si="4"/>
        <v>4.3023842241709156</v>
      </c>
      <c r="L70" s="6">
        <f t="shared" si="5"/>
        <v>2.5252883762200531</v>
      </c>
      <c r="M70" s="6">
        <f t="shared" si="6"/>
        <v>5.7621461454049774</v>
      </c>
    </row>
    <row r="71" spans="2:13" x14ac:dyDescent="0.25">
      <c r="B71">
        <v>39</v>
      </c>
      <c r="C71" s="6">
        <f t="shared" si="7"/>
        <v>2.3496719999999991</v>
      </c>
      <c r="D71" s="6">
        <f t="shared" si="8"/>
        <v>1.5366500000000001</v>
      </c>
      <c r="E71" s="6">
        <f t="shared" si="9"/>
        <v>3.3902653446763531</v>
      </c>
      <c r="G71" s="6">
        <f t="shared" si="1"/>
        <v>4.160832424315414</v>
      </c>
      <c r="H71" s="6">
        <f t="shared" si="2"/>
        <v>2.479067516334597</v>
      </c>
      <c r="I71" s="6">
        <f t="shared" si="3"/>
        <v>5.4643217173958805</v>
      </c>
      <c r="K71" s="6">
        <f t="shared" si="4"/>
        <v>4.160832424315414</v>
      </c>
      <c r="L71" s="6">
        <f t="shared" si="5"/>
        <v>2.479067516334597</v>
      </c>
      <c r="M71" s="6">
        <f t="shared" si="6"/>
        <v>5.4643217173958805</v>
      </c>
    </row>
    <row r="72" spans="2:13" x14ac:dyDescent="0.25">
      <c r="B72">
        <v>40</v>
      </c>
      <c r="C72" s="6">
        <f t="shared" si="7"/>
        <v>2.2711999999999994</v>
      </c>
      <c r="D72" s="6">
        <f t="shared" si="8"/>
        <v>1.508</v>
      </c>
      <c r="E72" s="6">
        <f t="shared" si="9"/>
        <v>3.2150348295873723</v>
      </c>
      <c r="G72" s="6">
        <f t="shared" si="1"/>
        <v>4.0218730963747999</v>
      </c>
      <c r="H72" s="6">
        <f t="shared" si="2"/>
        <v>2.4328466564491409</v>
      </c>
      <c r="I72" s="6">
        <f t="shared" si="3"/>
        <v>5.1818907535025236</v>
      </c>
      <c r="K72" s="6">
        <f t="shared" si="4"/>
        <v>4.0218730963747999</v>
      </c>
      <c r="L72" s="6">
        <f t="shared" si="5"/>
        <v>2.4328466564491409</v>
      </c>
      <c r="M72" s="6">
        <f t="shared" si="6"/>
        <v>5.1818907535025236</v>
      </c>
    </row>
    <row r="73" spans="2:13" x14ac:dyDescent="0.25">
      <c r="B73">
        <v>41</v>
      </c>
      <c r="C73" s="6">
        <f t="shared" si="7"/>
        <v>2.1941919999999993</v>
      </c>
      <c r="D73" s="6">
        <f t="shared" si="8"/>
        <v>1.4793499999999999</v>
      </c>
      <c r="E73" s="6">
        <f t="shared" si="9"/>
        <v>3.0488613440511281</v>
      </c>
      <c r="G73" s="6">
        <f t="shared" si="1"/>
        <v>3.885506240349073</v>
      </c>
      <c r="H73" s="6">
        <f t="shared" si="2"/>
        <v>2.3866257965636848</v>
      </c>
      <c r="I73" s="6">
        <f t="shared" si="3"/>
        <v>4.9140576214154095</v>
      </c>
      <c r="K73" s="6">
        <f t="shared" si="4"/>
        <v>3.885506240349073</v>
      </c>
      <c r="L73" s="6">
        <f t="shared" si="5"/>
        <v>2.3866257965636848</v>
      </c>
      <c r="M73" s="6">
        <f t="shared" si="6"/>
        <v>4.9140576214154095</v>
      </c>
    </row>
    <row r="74" spans="2:13" x14ac:dyDescent="0.25">
      <c r="B74">
        <v>42</v>
      </c>
      <c r="C74" s="6">
        <f t="shared" si="7"/>
        <v>2.1186479999999985</v>
      </c>
      <c r="D74" s="6">
        <f t="shared" si="8"/>
        <v>1.4506999999999999</v>
      </c>
      <c r="E74" s="6">
        <f t="shared" si="9"/>
        <v>2.8912767630707954</v>
      </c>
      <c r="G74" s="6">
        <f t="shared" si="1"/>
        <v>3.7517318562382327</v>
      </c>
      <c r="H74" s="6">
        <f t="shared" si="2"/>
        <v>2.3404049366782282</v>
      </c>
      <c r="I74" s="6">
        <f t="shared" si="3"/>
        <v>4.6600678121723913</v>
      </c>
      <c r="K74" s="6">
        <f t="shared" si="4"/>
        <v>3.7517318562382327</v>
      </c>
      <c r="L74" s="6">
        <f t="shared" si="5"/>
        <v>2.3404049366782282</v>
      </c>
      <c r="M74" s="6">
        <f t="shared" si="6"/>
        <v>4.6600678121723913</v>
      </c>
    </row>
    <row r="75" spans="2:13" x14ac:dyDescent="0.25">
      <c r="B75">
        <v>43</v>
      </c>
      <c r="C75" s="6">
        <f t="shared" si="7"/>
        <v>2.0445679999999999</v>
      </c>
      <c r="D75" s="6">
        <f t="shared" si="8"/>
        <v>1.42205</v>
      </c>
      <c r="E75" s="6">
        <f t="shared" si="9"/>
        <v>2.7418371573321889</v>
      </c>
      <c r="G75" s="6">
        <f t="shared" si="1"/>
        <v>3.6205499440422835</v>
      </c>
      <c r="H75" s="6">
        <f t="shared" si="2"/>
        <v>2.2941840767927726</v>
      </c>
      <c r="I75" s="6">
        <f t="shared" si="3"/>
        <v>4.4192058146420772</v>
      </c>
      <c r="K75" s="6">
        <f t="shared" si="4"/>
        <v>3.6205499440422835</v>
      </c>
      <c r="L75" s="6">
        <f t="shared" si="5"/>
        <v>2.2941840767927726</v>
      </c>
      <c r="M75" s="6">
        <f t="shared" si="6"/>
        <v>4.4192058146420772</v>
      </c>
    </row>
    <row r="76" spans="2:13" x14ac:dyDescent="0.25">
      <c r="B76">
        <v>44</v>
      </c>
      <c r="C76" s="6">
        <f t="shared" si="7"/>
        <v>1.971951999999999</v>
      </c>
      <c r="D76" s="6">
        <f t="shared" si="8"/>
        <v>1.3934</v>
      </c>
      <c r="E76" s="6">
        <f t="shared" si="9"/>
        <v>2.600121542616701</v>
      </c>
      <c r="G76" s="6">
        <f t="shared" si="1"/>
        <v>3.4919605037612178</v>
      </c>
      <c r="H76" s="6">
        <f t="shared" si="2"/>
        <v>2.247963216907316</v>
      </c>
      <c r="I76" s="6">
        <f t="shared" si="3"/>
        <v>4.1907930998674248</v>
      </c>
      <c r="K76" s="6">
        <f t="shared" si="4"/>
        <v>3.4919605037612178</v>
      </c>
      <c r="L76" s="6">
        <f t="shared" si="5"/>
        <v>2.247963216907316</v>
      </c>
      <c r="M76" s="6">
        <f t="shared" si="6"/>
        <v>4.1907930998674248</v>
      </c>
    </row>
    <row r="77" spans="2:13" x14ac:dyDescent="0.25">
      <c r="B77">
        <v>45</v>
      </c>
      <c r="C77" s="6">
        <f t="shared" si="7"/>
        <v>1.9007999999999985</v>
      </c>
      <c r="D77" s="6">
        <f t="shared" si="8"/>
        <v>1.3647499999999999</v>
      </c>
      <c r="E77" s="6">
        <f t="shared" si="9"/>
        <v>2.4657306938525685</v>
      </c>
      <c r="G77" s="6">
        <f t="shared" si="1"/>
        <v>3.3659635353950406</v>
      </c>
      <c r="H77" s="6">
        <f t="shared" si="2"/>
        <v>2.2017423570218599</v>
      </c>
      <c r="I77" s="6">
        <f t="shared" si="3"/>
        <v>3.9741862095913425</v>
      </c>
      <c r="K77" s="6">
        <f t="shared" si="4"/>
        <v>3.3659635353950406</v>
      </c>
      <c r="L77" s="6">
        <f t="shared" si="5"/>
        <v>2.2017423570218599</v>
      </c>
      <c r="M77" s="6">
        <f t="shared" si="6"/>
        <v>3.9741862095913425</v>
      </c>
    </row>
    <row r="78" spans="2:13" x14ac:dyDescent="0.25">
      <c r="B78">
        <v>46</v>
      </c>
      <c r="C78" s="6">
        <f t="shared" si="7"/>
        <v>1.8311119999999992</v>
      </c>
      <c r="D78" s="6">
        <f t="shared" si="8"/>
        <v>1.3361000000000001</v>
      </c>
      <c r="E78" s="6">
        <f t="shared" si="9"/>
        <v>2.3382860204635181</v>
      </c>
      <c r="G78" s="6">
        <f t="shared" si="1"/>
        <v>3.2425590389437531</v>
      </c>
      <c r="H78" s="6">
        <f t="shared" si="2"/>
        <v>2.1555214971364038</v>
      </c>
      <c r="I78" s="6">
        <f t="shared" si="3"/>
        <v>3.7687749435794506</v>
      </c>
      <c r="K78" s="6">
        <f t="shared" si="4"/>
        <v>3.2425590389437531</v>
      </c>
      <c r="L78" s="6">
        <f t="shared" si="5"/>
        <v>2.1555214971364038</v>
      </c>
      <c r="M78" s="6">
        <f t="shared" si="6"/>
        <v>3.7687749435794506</v>
      </c>
    </row>
    <row r="79" spans="2:13" x14ac:dyDescent="0.25">
      <c r="B79">
        <v>47</v>
      </c>
      <c r="C79" s="6">
        <f t="shared" si="7"/>
        <v>1.7628879999999993</v>
      </c>
      <c r="D79" s="6">
        <f t="shared" si="8"/>
        <v>1.30745</v>
      </c>
      <c r="E79" s="6">
        <f t="shared" si="9"/>
        <v>2.2174284998465588</v>
      </c>
      <c r="G79" s="6">
        <f t="shared" si="1"/>
        <v>3.1217470144073518</v>
      </c>
      <c r="H79" s="6">
        <f t="shared" si="2"/>
        <v>2.1093006372509477</v>
      </c>
      <c r="I79" s="6">
        <f t="shared" si="3"/>
        <v>3.5739806406335508</v>
      </c>
      <c r="K79" s="6">
        <f t="shared" si="4"/>
        <v>3.1217470144073518</v>
      </c>
      <c r="L79" s="6">
        <f t="shared" si="5"/>
        <v>2.1093006372509477</v>
      </c>
      <c r="M79" s="6">
        <f t="shared" si="6"/>
        <v>3.5739806406335508</v>
      </c>
    </row>
    <row r="80" spans="2:13" x14ac:dyDescent="0.25">
      <c r="B80">
        <v>48</v>
      </c>
      <c r="C80" s="6">
        <f t="shared" si="7"/>
        <v>1.696127999999999</v>
      </c>
      <c r="D80" s="6">
        <f t="shared" si="8"/>
        <v>1.2787999999999999</v>
      </c>
      <c r="E80" s="6">
        <f t="shared" si="9"/>
        <v>2.1028176659744413</v>
      </c>
      <c r="G80" s="6">
        <f t="shared" si="1"/>
        <v>3.0035274617858376</v>
      </c>
      <c r="H80" s="6">
        <f t="shared" si="2"/>
        <v>2.0630797773654916</v>
      </c>
      <c r="I80" s="6">
        <f t="shared" si="3"/>
        <v>3.3892545484532794</v>
      </c>
      <c r="K80" s="6">
        <f t="shared" si="4"/>
        <v>3.0035274617858376</v>
      </c>
      <c r="L80" s="6">
        <f t="shared" si="5"/>
        <v>2.0630797773654916</v>
      </c>
      <c r="M80" s="6">
        <f t="shared" si="6"/>
        <v>3.3892545484532794</v>
      </c>
    </row>
    <row r="81" spans="2:13" x14ac:dyDescent="0.25">
      <c r="B81">
        <v>49</v>
      </c>
      <c r="C81" s="6">
        <f t="shared" si="7"/>
        <v>1.6308319999999998</v>
      </c>
      <c r="D81" s="6">
        <f t="shared" si="8"/>
        <v>1.2501500000000001</v>
      </c>
      <c r="E81" s="6">
        <f t="shared" si="9"/>
        <v>1.9941306502735845</v>
      </c>
      <c r="G81" s="6">
        <f t="shared" si="1"/>
        <v>2.8879003810792132</v>
      </c>
      <c r="H81" s="6">
        <f t="shared" si="2"/>
        <v>2.0168589174800355</v>
      </c>
      <c r="I81" s="6">
        <f t="shared" si="3"/>
        <v>3.2140762777536938</v>
      </c>
      <c r="K81" s="6">
        <f t="shared" si="4"/>
        <v>2.8879003810792132</v>
      </c>
      <c r="L81" s="6">
        <f t="shared" si="5"/>
        <v>2.0168589174800355</v>
      </c>
      <c r="M81" s="6">
        <f t="shared" si="6"/>
        <v>3.2140762777536938</v>
      </c>
    </row>
    <row r="82" spans="2:13" x14ac:dyDescent="0.25">
      <c r="B82">
        <v>50</v>
      </c>
      <c r="C82" s="6">
        <f t="shared" si="7"/>
        <v>1.5669999999999993</v>
      </c>
      <c r="D82" s="6">
        <f t="shared" si="8"/>
        <v>1.2215</v>
      </c>
      <c r="E82" s="6">
        <f t="shared" si="9"/>
        <v>1.8910612720755422</v>
      </c>
      <c r="G82" s="6">
        <f t="shared" si="1"/>
        <v>2.7748657722874737</v>
      </c>
      <c r="H82" s="6">
        <f t="shared" si="2"/>
        <v>1.9706380575945794</v>
      </c>
      <c r="I82" s="6">
        <f t="shared" si="3"/>
        <v>3.0479523362839096</v>
      </c>
      <c r="K82" s="6">
        <f t="shared" si="4"/>
        <v>2.7748657722874737</v>
      </c>
      <c r="L82" s="6">
        <f t="shared" si="5"/>
        <v>1.9706380575945794</v>
      </c>
      <c r="M82" s="6">
        <f t="shared" si="6"/>
        <v>3.0479523362839096</v>
      </c>
    </row>
    <row r="83" spans="2:13" x14ac:dyDescent="0.25">
      <c r="B83">
        <v>51</v>
      </c>
      <c r="C83" s="6">
        <f t="shared" si="7"/>
        <v>1.504632</v>
      </c>
      <c r="D83" s="6">
        <f t="shared" si="8"/>
        <v>1.19285</v>
      </c>
      <c r="E83" s="6">
        <f t="shared" si="9"/>
        <v>1.7933191760797329</v>
      </c>
      <c r="G83" s="6">
        <f t="shared" si="1"/>
        <v>2.6644236354106243</v>
      </c>
      <c r="H83" s="6">
        <f t="shared" si="2"/>
        <v>1.9244171977091231</v>
      </c>
      <c r="I83" s="6">
        <f t="shared" si="3"/>
        <v>2.8904147386169989</v>
      </c>
      <c r="K83" s="6">
        <f t="shared" si="4"/>
        <v>2.6644236354106243</v>
      </c>
      <c r="L83" s="6">
        <f t="shared" si="5"/>
        <v>1.9244171977091231</v>
      </c>
      <c r="M83" s="6">
        <f t="shared" si="6"/>
        <v>2.8904147386169989</v>
      </c>
    </row>
    <row r="84" spans="2:13" x14ac:dyDescent="0.25">
      <c r="B84">
        <v>52</v>
      </c>
      <c r="C84" s="6">
        <f t="shared" si="7"/>
        <v>1.4437279999999992</v>
      </c>
      <c r="D84" s="6">
        <f t="shared" si="8"/>
        <v>1.1641999999999999</v>
      </c>
      <c r="E84" s="6">
        <f t="shared" si="9"/>
        <v>1.7006290143975957</v>
      </c>
      <c r="G84" s="6">
        <f t="shared" si="1"/>
        <v>2.5565739704486599</v>
      </c>
      <c r="H84" s="6">
        <f t="shared" si="2"/>
        <v>1.8781963378236668</v>
      </c>
      <c r="I84" s="6">
        <f t="shared" si="3"/>
        <v>2.7410196877948079</v>
      </c>
      <c r="K84" s="6">
        <f t="shared" si="4"/>
        <v>2.5565739704486599</v>
      </c>
      <c r="L84" s="6">
        <f t="shared" si="5"/>
        <v>1.8781963378236668</v>
      </c>
      <c r="M84" s="6">
        <f t="shared" si="6"/>
        <v>2.7410196877948079</v>
      </c>
    </row>
    <row r="85" spans="2:13" x14ac:dyDescent="0.25">
      <c r="B85">
        <v>53</v>
      </c>
      <c r="C85" s="6">
        <f t="shared" si="7"/>
        <v>1.3842879999999997</v>
      </c>
      <c r="D85" s="6">
        <f t="shared" si="8"/>
        <v>1.1355500000000001</v>
      </c>
      <c r="E85" s="6">
        <f t="shared" si="9"/>
        <v>1.6127296708739092</v>
      </c>
      <c r="G85" s="6">
        <f t="shared" si="1"/>
        <v>2.4513167774015852</v>
      </c>
      <c r="H85" s="6">
        <f t="shared" si="2"/>
        <v>1.8319754779382109</v>
      </c>
      <c r="I85" s="6">
        <f t="shared" si="3"/>
        <v>2.5993463251137596</v>
      </c>
      <c r="K85" s="6">
        <f t="shared" si="4"/>
        <v>2.4513167774015852</v>
      </c>
      <c r="L85" s="6">
        <f t="shared" si="5"/>
        <v>1.8319754779382109</v>
      </c>
      <c r="M85" s="6">
        <f t="shared" si="6"/>
        <v>2.5993463251137596</v>
      </c>
    </row>
    <row r="86" spans="2:13" x14ac:dyDescent="0.25">
      <c r="B86">
        <v>54</v>
      </c>
      <c r="C86" s="6">
        <f t="shared" si="7"/>
        <v>1.3263119999999997</v>
      </c>
      <c r="D86" s="6">
        <f t="shared" si="8"/>
        <v>1.1069</v>
      </c>
      <c r="E86" s="6">
        <f t="shared" si="9"/>
        <v>1.5293735255001331</v>
      </c>
      <c r="G86" s="6">
        <f t="shared" si="1"/>
        <v>2.3486520562693967</v>
      </c>
      <c r="H86" s="6">
        <f t="shared" si="2"/>
        <v>1.7857546180527546</v>
      </c>
      <c r="I86" s="6">
        <f t="shared" si="3"/>
        <v>2.4649955445297063</v>
      </c>
      <c r="K86" s="6">
        <f t="shared" si="4"/>
        <v>2.3486520562693967</v>
      </c>
      <c r="L86" s="6">
        <f t="shared" si="5"/>
        <v>1.7857546180527546</v>
      </c>
      <c r="M86" s="6">
        <f t="shared" si="6"/>
        <v>2.4649955445297063</v>
      </c>
    </row>
    <row r="87" spans="2:13" x14ac:dyDescent="0.25">
      <c r="B87">
        <v>55</v>
      </c>
      <c r="C87" s="6">
        <f t="shared" si="7"/>
        <v>1.2698</v>
      </c>
      <c r="D87" s="6">
        <f t="shared" si="8"/>
        <v>1.0782499999999999</v>
      </c>
      <c r="E87" s="6">
        <f t="shared" si="9"/>
        <v>1.4503257568475523</v>
      </c>
      <c r="G87" s="6">
        <f t="shared" si="1"/>
        <v>2.248579807052097</v>
      </c>
      <c r="H87" s="6">
        <f t="shared" si="2"/>
        <v>1.7395337581672985</v>
      </c>
      <c r="I87" s="6">
        <f t="shared" si="3"/>
        <v>2.3375888683418822</v>
      </c>
      <c r="K87" s="6">
        <f t="shared" si="4"/>
        <v>2.248579807052097</v>
      </c>
      <c r="L87" s="6">
        <f t="shared" si="5"/>
        <v>1.7395337581672985</v>
      </c>
      <c r="M87" s="6">
        <f t="shared" si="6"/>
        <v>2.3375888683418822</v>
      </c>
    </row>
    <row r="88" spans="2:13" x14ac:dyDescent="0.25">
      <c r="B88">
        <v>56</v>
      </c>
      <c r="C88" s="6">
        <f t="shared" si="7"/>
        <v>1.2147519999999989</v>
      </c>
      <c r="D88" s="6">
        <f t="shared" si="8"/>
        <v>1.0496000000000001</v>
      </c>
      <c r="E88" s="6">
        <f t="shared" si="9"/>
        <v>1.3753636805551217</v>
      </c>
      <c r="G88" s="6">
        <f t="shared" si="1"/>
        <v>2.1511000297496823</v>
      </c>
      <c r="H88" s="6">
        <f t="shared" si="2"/>
        <v>1.6933128982818424</v>
      </c>
      <c r="I88" s="6">
        <f t="shared" si="3"/>
        <v>2.2167673809886792</v>
      </c>
      <c r="K88" s="6">
        <f t="shared" si="4"/>
        <v>2.1511000297496823</v>
      </c>
      <c r="L88" s="6">
        <f t="shared" si="5"/>
        <v>1.6933128982818424</v>
      </c>
      <c r="M88" s="6">
        <f t="shared" si="6"/>
        <v>2.2167673809886792</v>
      </c>
    </row>
    <row r="89" spans="2:13" x14ac:dyDescent="0.25">
      <c r="B89">
        <v>57</v>
      </c>
      <c r="C89" s="6">
        <f t="shared" si="7"/>
        <v>1.161168</v>
      </c>
      <c r="D89" s="6">
        <f t="shared" si="8"/>
        <v>1.02095</v>
      </c>
      <c r="E89" s="6">
        <f t="shared" si="9"/>
        <v>1.3042761220084744</v>
      </c>
      <c r="G89" s="6">
        <f t="shared" si="1"/>
        <v>2.0562127243621586</v>
      </c>
      <c r="H89" s="6">
        <f t="shared" si="2"/>
        <v>1.6470920383963863</v>
      </c>
      <c r="I89" s="6">
        <f t="shared" si="3"/>
        <v>2.1021907179516512</v>
      </c>
      <c r="K89" s="6">
        <f t="shared" si="4"/>
        <v>2.0562127243621586</v>
      </c>
      <c r="L89" s="6">
        <f t="shared" si="5"/>
        <v>1.6470920383963863</v>
      </c>
      <c r="M89" s="6">
        <f t="shared" si="6"/>
        <v>2.1021907179516512</v>
      </c>
    </row>
    <row r="90" spans="2:13" x14ac:dyDescent="0.25">
      <c r="B90">
        <v>58</v>
      </c>
      <c r="C90" s="6">
        <f t="shared" si="7"/>
        <v>1.1090479999999996</v>
      </c>
      <c r="D90" s="6">
        <f t="shared" si="8"/>
        <v>0.99229999999999996</v>
      </c>
      <c r="E90" s="6">
        <f t="shared" si="9"/>
        <v>1.2368628214428747</v>
      </c>
      <c r="G90" s="6">
        <f t="shared" si="1"/>
        <v>1.9639178908895205</v>
      </c>
      <c r="H90" s="6">
        <f t="shared" si="2"/>
        <v>1.60087117851093</v>
      </c>
      <c r="I90" s="6">
        <f t="shared" si="3"/>
        <v>1.9935361069193966</v>
      </c>
      <c r="K90" s="6">
        <f t="shared" si="4"/>
        <v>1.9639178908895205</v>
      </c>
      <c r="L90" s="6">
        <f t="shared" si="5"/>
        <v>1.60087117851093</v>
      </c>
      <c r="M90" s="6">
        <f t="shared" si="6"/>
        <v>1.9935361069193966</v>
      </c>
    </row>
    <row r="91" spans="2:13" x14ac:dyDescent="0.25">
      <c r="B91">
        <v>59</v>
      </c>
      <c r="C91" s="6">
        <f t="shared" si="7"/>
        <v>1.0583919999999996</v>
      </c>
      <c r="D91" s="6">
        <f t="shared" si="8"/>
        <v>0.96365000000000012</v>
      </c>
      <c r="E91" s="6">
        <f t="shared" si="9"/>
        <v>1.1729338697942437</v>
      </c>
      <c r="G91" s="6">
        <f t="shared" si="1"/>
        <v>1.8742155293317704</v>
      </c>
      <c r="H91" s="6">
        <f t="shared" si="2"/>
        <v>1.5546503186254741</v>
      </c>
      <c r="I91" s="6">
        <f t="shared" si="3"/>
        <v>1.8904974585102075</v>
      </c>
      <c r="K91" s="6">
        <f t="shared" si="4"/>
        <v>1.8742155293317704</v>
      </c>
      <c r="L91" s="6">
        <f t="shared" si="5"/>
        <v>1.5546503186254741</v>
      </c>
      <c r="M91" s="6">
        <f t="shared" si="6"/>
        <v>1.8904974585102075</v>
      </c>
    </row>
    <row r="92" spans="2:13" x14ac:dyDescent="0.25">
      <c r="B92">
        <v>60</v>
      </c>
      <c r="C92" s="6">
        <f t="shared" si="7"/>
        <v>1.009199999999999</v>
      </c>
      <c r="D92" s="6">
        <f t="shared" si="8"/>
        <v>0.93500000000000005</v>
      </c>
      <c r="E92" s="6">
        <f t="shared" si="9"/>
        <v>1.1123091737089938</v>
      </c>
      <c r="G92" s="6">
        <f t="shared" si="1"/>
        <v>1.7871056396889069</v>
      </c>
      <c r="H92" s="6">
        <f t="shared" si="2"/>
        <v>1.5084294587400178</v>
      </c>
      <c r="I92" s="6">
        <f t="shared" si="3"/>
        <v>1.7927845039919585</v>
      </c>
      <c r="K92" s="6">
        <f t="shared" si="4"/>
        <v>1.7871056396889069</v>
      </c>
      <c r="L92" s="6">
        <f t="shared" si="5"/>
        <v>1.5084294587400178</v>
      </c>
      <c r="M92" s="6">
        <f t="shared" si="6"/>
        <v>1.7927845039919585</v>
      </c>
    </row>
    <row r="93" spans="2:13" x14ac:dyDescent="0.25">
      <c r="B93">
        <v>61</v>
      </c>
      <c r="C93" s="6">
        <f t="shared" si="7"/>
        <v>0.96147199999999877</v>
      </c>
      <c r="D93" s="6">
        <f t="shared" si="8"/>
        <v>0.90634999999999999</v>
      </c>
      <c r="E93" s="6">
        <f t="shared" si="9"/>
        <v>1.054817948205572</v>
      </c>
      <c r="G93" s="6">
        <f t="shared" si="1"/>
        <v>1.7025882219609316</v>
      </c>
      <c r="H93" s="6">
        <f t="shared" si="2"/>
        <v>1.4622085988545614</v>
      </c>
      <c r="I93" s="6">
        <f t="shared" si="3"/>
        <v>1.7001219775701388</v>
      </c>
      <c r="K93" s="6">
        <f t="shared" si="4"/>
        <v>1.7025882219609316</v>
      </c>
      <c r="L93" s="6">
        <f t="shared" si="5"/>
        <v>1.4622085988545614</v>
      </c>
      <c r="M93" s="6">
        <f t="shared" si="6"/>
        <v>1.7025882219609316</v>
      </c>
    </row>
    <row r="94" spans="2:13" x14ac:dyDescent="0.25">
      <c r="B94">
        <v>62</v>
      </c>
      <c r="C94" s="6">
        <f t="shared" si="7"/>
        <v>0.9152079999999998</v>
      </c>
      <c r="D94" s="6">
        <f t="shared" si="8"/>
        <v>0.87769999999999992</v>
      </c>
      <c r="E94" s="6">
        <f t="shared" si="9"/>
        <v>1.0002982355584755</v>
      </c>
      <c r="G94" s="6">
        <f t="shared" si="1"/>
        <v>1.6206632761478461</v>
      </c>
      <c r="H94" s="6">
        <f t="shared" si="2"/>
        <v>1.4159877389691053</v>
      </c>
      <c r="I94" s="6">
        <f t="shared" si="3"/>
        <v>1.6122488409404301</v>
      </c>
      <c r="K94" s="6">
        <f t="shared" si="4"/>
        <v>1.6206632761478461</v>
      </c>
      <c r="L94" s="6">
        <f t="shared" si="5"/>
        <v>1.4159877389691053</v>
      </c>
      <c r="M94" s="6">
        <f t="shared" si="6"/>
        <v>1.6206632761478461</v>
      </c>
    </row>
    <row r="95" spans="2:13" x14ac:dyDescent="0.25">
      <c r="B95">
        <v>63</v>
      </c>
      <c r="C95" s="6">
        <f t="shared" si="7"/>
        <v>0.8704079999999994</v>
      </c>
      <c r="D95" s="6">
        <f t="shared" si="8"/>
        <v>0.84905000000000008</v>
      </c>
      <c r="E95" s="6">
        <f t="shared" si="9"/>
        <v>0.94859644904941876</v>
      </c>
      <c r="G95" s="6">
        <f t="shared" si="1"/>
        <v>1.5413308022496459</v>
      </c>
      <c r="H95" s="6">
        <f t="shared" si="2"/>
        <v>1.3697668790836495</v>
      </c>
      <c r="I95" s="6">
        <f t="shared" si="3"/>
        <v>1.5289175479213657</v>
      </c>
      <c r="K95" s="6">
        <f t="shared" si="4"/>
        <v>1.5413308022496459</v>
      </c>
      <c r="L95" s="6">
        <f t="shared" si="5"/>
        <v>1.3697668790836495</v>
      </c>
      <c r="M95" s="6">
        <f t="shared" si="6"/>
        <v>1.5413308022496459</v>
      </c>
    </row>
    <row r="96" spans="2:13" x14ac:dyDescent="0.25">
      <c r="B96">
        <v>64</v>
      </c>
      <c r="C96" s="6">
        <f t="shared" si="7"/>
        <v>0.82707199999999936</v>
      </c>
      <c r="D96" s="6">
        <f t="shared" si="8"/>
        <v>0.82040000000000002</v>
      </c>
      <c r="E96" s="6">
        <f t="shared" si="9"/>
        <v>0.89956694030034023</v>
      </c>
      <c r="G96" s="6">
        <f t="shared" si="1"/>
        <v>1.4645908002663337</v>
      </c>
      <c r="H96" s="6">
        <f t="shared" si="2"/>
        <v>1.3235460191981931</v>
      </c>
      <c r="I96" s="6">
        <f t="shared" si="3"/>
        <v>1.4498933470954516</v>
      </c>
      <c r="K96" s="6">
        <f t="shared" si="4"/>
        <v>1.4645908002663337</v>
      </c>
      <c r="L96" s="6">
        <f t="shared" si="5"/>
        <v>1.3235460191981931</v>
      </c>
      <c r="M96" s="6">
        <f t="shared" si="6"/>
        <v>1.4645908002663337</v>
      </c>
    </row>
    <row r="97" spans="2:13" x14ac:dyDescent="0.25">
      <c r="B97">
        <v>65</v>
      </c>
      <c r="C97" s="6">
        <f t="shared" si="7"/>
        <v>0.78519999999999968</v>
      </c>
      <c r="D97" s="6">
        <f t="shared" si="8"/>
        <v>0.79174999999999995</v>
      </c>
      <c r="E97" s="6">
        <f t="shared" si="9"/>
        <v>0.85307158896939739</v>
      </c>
      <c r="G97" s="6">
        <f t="shared" si="1"/>
        <v>1.3904432701979097</v>
      </c>
      <c r="H97" s="6">
        <f t="shared" si="2"/>
        <v>1.2773251593127368</v>
      </c>
      <c r="I97" s="6">
        <f t="shared" si="3"/>
        <v>1.3749536204942359</v>
      </c>
      <c r="K97" s="6">
        <f t="shared" si="4"/>
        <v>1.3904432701979097</v>
      </c>
      <c r="L97" s="6">
        <f t="shared" si="5"/>
        <v>1.2773251593127368</v>
      </c>
      <c r="M97" s="6">
        <f t="shared" si="6"/>
        <v>1.3904432701979097</v>
      </c>
    </row>
    <row r="98" spans="2:13" x14ac:dyDescent="0.25">
      <c r="B98">
        <v>66</v>
      </c>
      <c r="C98" s="6">
        <f t="shared" si="7"/>
        <v>0.74479199999999857</v>
      </c>
      <c r="D98" s="6">
        <f t="shared" si="8"/>
        <v>0.76310000000000011</v>
      </c>
      <c r="E98" s="6">
        <f t="shared" si="9"/>
        <v>0.80897941365408954</v>
      </c>
      <c r="G98" s="6">
        <f t="shared" ref="G98:G122" si="10">C98/C$103</f>
        <v>1.3188882120443708</v>
      </c>
      <c r="H98" s="6">
        <f t="shared" ref="H98:H122" si="11">D98/D$103</f>
        <v>1.2311042994272809</v>
      </c>
      <c r="I98" s="6">
        <f t="shared" ref="I98:I122" si="12">E98/E$103</f>
        <v>1.3038872564643538</v>
      </c>
      <c r="K98" s="6">
        <f t="shared" ref="K98:K122" si="13">G98</f>
        <v>1.3188882120443708</v>
      </c>
      <c r="L98" s="6">
        <f t="shared" ref="L98:L122" si="14">IF(H98&lt;=G98,H98,G98)</f>
        <v>1.2311042994272809</v>
      </c>
      <c r="M98" s="6">
        <f t="shared" ref="M98:M122" si="15">IF(I98&gt;=G98,I98,G98)</f>
        <v>1.3188882120443708</v>
      </c>
    </row>
    <row r="99" spans="2:13" x14ac:dyDescent="0.25">
      <c r="B99">
        <v>67</v>
      </c>
      <c r="C99" s="6">
        <f t="shared" ref="C99:C122" si="16">$C$22*$B99^2+$C$23*$B99+$C$24</f>
        <v>0.70584799999999959</v>
      </c>
      <c r="D99" s="6">
        <f t="shared" ref="D99:D122" si="17">$D$22*$B99^2+$D$23*$B99+$D$24</f>
        <v>0.73445000000000005</v>
      </c>
      <c r="E99" s="6">
        <f t="shared" ref="E99:E122" si="18">$E$27*EXP($E$28*$B99)</f>
        <v>0.76716620290538329</v>
      </c>
      <c r="G99" s="6">
        <f t="shared" si="10"/>
        <v>1.2499256258057234</v>
      </c>
      <c r="H99" s="6">
        <f t="shared" si="11"/>
        <v>1.1848834395418246</v>
      </c>
      <c r="I99" s="6">
        <f t="shared" si="12"/>
        <v>1.236494054947846</v>
      </c>
      <c r="K99" s="6">
        <f t="shared" si="13"/>
        <v>1.2499256258057234</v>
      </c>
      <c r="L99" s="6">
        <f t="shared" si="14"/>
        <v>1.1848834395418246</v>
      </c>
      <c r="M99" s="6">
        <f t="shared" si="15"/>
        <v>1.2499256258057234</v>
      </c>
    </row>
    <row r="100" spans="2:13" x14ac:dyDescent="0.25">
      <c r="B100">
        <v>68</v>
      </c>
      <c r="C100" s="6">
        <f t="shared" si="16"/>
        <v>0.66836800000000007</v>
      </c>
      <c r="D100" s="6">
        <f t="shared" si="17"/>
        <v>0.70579999999999998</v>
      </c>
      <c r="E100" s="6">
        <f t="shared" si="18"/>
        <v>0.72751416531338153</v>
      </c>
      <c r="G100" s="6">
        <f t="shared" si="10"/>
        <v>1.1835555114819625</v>
      </c>
      <c r="H100" s="6">
        <f t="shared" si="11"/>
        <v>1.1386625796563685</v>
      </c>
      <c r="I100" s="6">
        <f t="shared" si="12"/>
        <v>1.1725841635013823</v>
      </c>
      <c r="K100" s="6">
        <f t="shared" si="13"/>
        <v>1.1835555114819625</v>
      </c>
      <c r="L100" s="6">
        <f t="shared" si="14"/>
        <v>1.1386625796563685</v>
      </c>
      <c r="M100" s="6">
        <f t="shared" si="15"/>
        <v>1.1835555114819625</v>
      </c>
    </row>
    <row r="101" spans="2:13" x14ac:dyDescent="0.25">
      <c r="B101">
        <v>69</v>
      </c>
      <c r="C101" s="6">
        <f t="shared" si="16"/>
        <v>0.63235199999999914</v>
      </c>
      <c r="D101" s="6">
        <f t="shared" si="17"/>
        <v>0.67714999999999992</v>
      </c>
      <c r="E101" s="6">
        <f t="shared" si="18"/>
        <v>0.68991159767879295</v>
      </c>
      <c r="G101" s="6">
        <f t="shared" si="10"/>
        <v>1.1197778690730869</v>
      </c>
      <c r="H101" s="6">
        <f t="shared" si="11"/>
        <v>1.0924417197709122</v>
      </c>
      <c r="I101" s="6">
        <f t="shared" si="12"/>
        <v>1.1119775424656047</v>
      </c>
      <c r="K101" s="6">
        <f t="shared" si="13"/>
        <v>1.1197778690730869</v>
      </c>
      <c r="L101" s="6">
        <f t="shared" si="14"/>
        <v>1.0924417197709122</v>
      </c>
      <c r="M101" s="6">
        <f t="shared" si="15"/>
        <v>1.1197778690730869</v>
      </c>
    </row>
    <row r="102" spans="2:13" x14ac:dyDescent="0.25">
      <c r="B102">
        <v>70</v>
      </c>
      <c r="C102" s="6">
        <f t="shared" si="16"/>
        <v>0.59779999999999944</v>
      </c>
      <c r="D102" s="6">
        <f t="shared" si="17"/>
        <v>0.64849999999999985</v>
      </c>
      <c r="E102" s="6">
        <f t="shared" si="18"/>
        <v>0.65425257033541617</v>
      </c>
      <c r="G102" s="6">
        <f t="shared" si="10"/>
        <v>1.058592698579101</v>
      </c>
      <c r="H102" s="6">
        <f t="shared" si="11"/>
        <v>1.0462208598854559</v>
      </c>
      <c r="I102" s="6">
        <f t="shared" si="12"/>
        <v>1.0545034577779271</v>
      </c>
      <c r="K102" s="6">
        <f t="shared" si="13"/>
        <v>1.058592698579101</v>
      </c>
      <c r="L102" s="6">
        <f t="shared" si="14"/>
        <v>1.0462208598854559</v>
      </c>
      <c r="M102" s="6">
        <f t="shared" si="15"/>
        <v>1.058592698579101</v>
      </c>
    </row>
    <row r="103" spans="2:13" x14ac:dyDescent="0.25">
      <c r="B103">
        <v>71</v>
      </c>
      <c r="C103" s="6">
        <f t="shared" si="16"/>
        <v>0.56471199999999833</v>
      </c>
      <c r="D103" s="6">
        <f t="shared" si="17"/>
        <v>0.61985000000000001</v>
      </c>
      <c r="E103" s="6">
        <f t="shared" si="18"/>
        <v>0.62043662873716088</v>
      </c>
      <c r="G103" s="6">
        <f t="shared" si="10"/>
        <v>1</v>
      </c>
      <c r="H103" s="6">
        <f t="shared" si="11"/>
        <v>1</v>
      </c>
      <c r="I103" s="6">
        <f t="shared" si="12"/>
        <v>1</v>
      </c>
      <c r="K103" s="6">
        <f t="shared" si="13"/>
        <v>1</v>
      </c>
      <c r="L103" s="6">
        <f t="shared" si="14"/>
        <v>1</v>
      </c>
      <c r="M103" s="6">
        <f t="shared" si="15"/>
        <v>1</v>
      </c>
    </row>
    <row r="104" spans="2:13" x14ac:dyDescent="0.25">
      <c r="B104">
        <v>72</v>
      </c>
      <c r="C104" s="6">
        <f t="shared" si="16"/>
        <v>0.53308799999999845</v>
      </c>
      <c r="D104" s="6">
        <f t="shared" si="17"/>
        <v>0.59120000000000017</v>
      </c>
      <c r="E104" s="6">
        <f t="shared" si="18"/>
        <v>0.58836851046895433</v>
      </c>
      <c r="G104" s="6">
        <f t="shared" si="10"/>
        <v>0.94399977333578888</v>
      </c>
      <c r="H104" s="6">
        <f t="shared" si="11"/>
        <v>0.95377914011454412</v>
      </c>
      <c r="I104" s="6">
        <f t="shared" si="12"/>
        <v>0.94831362820490128</v>
      </c>
      <c r="K104" s="6">
        <f t="shared" si="13"/>
        <v>0.94399977333578888</v>
      </c>
      <c r="L104" s="6">
        <f t="shared" si="14"/>
        <v>0.94399977333578888</v>
      </c>
      <c r="M104" s="6">
        <f t="shared" si="15"/>
        <v>0.94831362820490128</v>
      </c>
    </row>
    <row r="105" spans="2:13" x14ac:dyDescent="0.25">
      <c r="B105">
        <v>73</v>
      </c>
      <c r="C105" s="6">
        <f t="shared" si="16"/>
        <v>0.50292800000000071</v>
      </c>
      <c r="D105" s="6">
        <f t="shared" si="17"/>
        <v>0.56254999999999988</v>
      </c>
      <c r="E105" s="6">
        <f t="shared" si="18"/>
        <v>0.55795787688432763</v>
      </c>
      <c r="G105" s="6">
        <f t="shared" si="10"/>
        <v>0.89059201858646919</v>
      </c>
      <c r="H105" s="6">
        <f t="shared" si="11"/>
        <v>0.90755828022908747</v>
      </c>
      <c r="I105" s="6">
        <f t="shared" si="12"/>
        <v>0.8992987374391439</v>
      </c>
      <c r="K105" s="6">
        <f t="shared" si="13"/>
        <v>0.89059201858646919</v>
      </c>
      <c r="L105" s="6">
        <f t="shared" si="14"/>
        <v>0.89059201858646919</v>
      </c>
      <c r="M105" s="6">
        <f t="shared" si="15"/>
        <v>0.8992987374391439</v>
      </c>
    </row>
    <row r="106" spans="2:13" x14ac:dyDescent="0.25">
      <c r="B106">
        <v>74</v>
      </c>
      <c r="C106" s="6">
        <f t="shared" si="16"/>
        <v>0.47423199999999976</v>
      </c>
      <c r="D106" s="6">
        <f t="shared" si="17"/>
        <v>0.53390000000000004</v>
      </c>
      <c r="E106" s="6">
        <f t="shared" si="18"/>
        <v>0.52911905861368025</v>
      </c>
      <c r="G106" s="6">
        <f t="shared" si="10"/>
        <v>0.83977673575203138</v>
      </c>
      <c r="H106" s="6">
        <f t="shared" si="11"/>
        <v>0.86133742034363159</v>
      </c>
      <c r="I106" s="6">
        <f t="shared" si="12"/>
        <v>0.85281724854100127</v>
      </c>
      <c r="K106" s="6">
        <f t="shared" si="13"/>
        <v>0.83977673575203138</v>
      </c>
      <c r="L106" s="6">
        <f t="shared" si="14"/>
        <v>0.83977673575203138</v>
      </c>
      <c r="M106" s="6">
        <f t="shared" si="15"/>
        <v>0.85281724854100127</v>
      </c>
    </row>
    <row r="107" spans="2:13" x14ac:dyDescent="0.25">
      <c r="B107">
        <v>75</v>
      </c>
      <c r="C107" s="6">
        <f t="shared" si="16"/>
        <v>0.44699999999999918</v>
      </c>
      <c r="D107" s="6">
        <f t="shared" si="17"/>
        <v>0.5052500000000002</v>
      </c>
      <c r="E107" s="6">
        <f t="shared" si="18"/>
        <v>0.50177081422630099</v>
      </c>
      <c r="G107" s="6">
        <f t="shared" si="10"/>
        <v>0.79155392483248188</v>
      </c>
      <c r="H107" s="6">
        <f t="shared" si="11"/>
        <v>0.81511656045817571</v>
      </c>
      <c r="I107" s="6">
        <f t="shared" si="12"/>
        <v>0.80873821915963806</v>
      </c>
      <c r="K107" s="6">
        <f t="shared" si="13"/>
        <v>0.79155392483248188</v>
      </c>
      <c r="L107" s="6">
        <f t="shared" si="14"/>
        <v>0.79155392483248188</v>
      </c>
      <c r="M107" s="6">
        <f t="shared" si="15"/>
        <v>0.80873821915963806</v>
      </c>
    </row>
    <row r="108" spans="2:13" x14ac:dyDescent="0.25">
      <c r="B108">
        <v>76</v>
      </c>
      <c r="C108" s="6">
        <f t="shared" si="16"/>
        <v>0.42123199999999894</v>
      </c>
      <c r="D108" s="6">
        <f t="shared" si="17"/>
        <v>0.47659999999999991</v>
      </c>
      <c r="E108" s="6">
        <f t="shared" si="18"/>
        <v>0.47583610136627102</v>
      </c>
      <c r="G108" s="6">
        <f t="shared" si="10"/>
        <v>0.74592358582782048</v>
      </c>
      <c r="H108" s="6">
        <f t="shared" si="11"/>
        <v>0.76889570057271905</v>
      </c>
      <c r="I108" s="6">
        <f t="shared" si="12"/>
        <v>0.76693747487924702</v>
      </c>
      <c r="K108" s="6">
        <f t="shared" si="13"/>
        <v>0.74592358582782048</v>
      </c>
      <c r="L108" s="6">
        <f t="shared" si="14"/>
        <v>0.74592358582782048</v>
      </c>
      <c r="M108" s="6">
        <f t="shared" si="15"/>
        <v>0.76693747487924702</v>
      </c>
    </row>
    <row r="109" spans="2:13" x14ac:dyDescent="0.25">
      <c r="B109">
        <v>77</v>
      </c>
      <c r="C109" s="6">
        <f t="shared" si="16"/>
        <v>0.39692799999999906</v>
      </c>
      <c r="D109" s="6">
        <f t="shared" si="17"/>
        <v>0.44795000000000007</v>
      </c>
      <c r="E109" s="6">
        <f t="shared" si="18"/>
        <v>0.45124185971752362</v>
      </c>
      <c r="G109" s="6">
        <f t="shared" si="10"/>
        <v>0.70288571873804739</v>
      </c>
      <c r="H109" s="6">
        <f t="shared" si="11"/>
        <v>0.72267484068726318</v>
      </c>
      <c r="I109" s="6">
        <f t="shared" si="12"/>
        <v>0.72729725940904399</v>
      </c>
      <c r="K109" s="6">
        <f t="shared" si="13"/>
        <v>0.70288571873804739</v>
      </c>
      <c r="L109" s="6">
        <f t="shared" si="14"/>
        <v>0.70288571873804739</v>
      </c>
      <c r="M109" s="6">
        <f t="shared" si="15"/>
        <v>0.72729725940904399</v>
      </c>
    </row>
    <row r="110" spans="2:13" x14ac:dyDescent="0.25">
      <c r="B110">
        <v>78</v>
      </c>
      <c r="C110" s="6">
        <f t="shared" si="16"/>
        <v>0.37408799999999864</v>
      </c>
      <c r="D110" s="6">
        <f t="shared" si="17"/>
        <v>0.41930000000000023</v>
      </c>
      <c r="E110" s="6">
        <f t="shared" si="18"/>
        <v>0.42791880518665193</v>
      </c>
      <c r="G110" s="6">
        <f t="shared" si="10"/>
        <v>0.66244032356316096</v>
      </c>
      <c r="H110" s="6">
        <f t="shared" si="11"/>
        <v>0.6764539808018073</v>
      </c>
      <c r="I110" s="6">
        <f t="shared" si="12"/>
        <v>0.68970590285367184</v>
      </c>
      <c r="K110" s="6">
        <f t="shared" si="13"/>
        <v>0.66244032356316096</v>
      </c>
      <c r="L110" s="6">
        <f t="shared" si="14"/>
        <v>0.66244032356316096</v>
      </c>
      <c r="M110" s="6">
        <f t="shared" si="15"/>
        <v>0.68970590285367184</v>
      </c>
    </row>
    <row r="111" spans="2:13" x14ac:dyDescent="0.25">
      <c r="B111">
        <v>79</v>
      </c>
      <c r="C111" s="6">
        <f t="shared" si="16"/>
        <v>0.35271200000000036</v>
      </c>
      <c r="D111" s="6">
        <f t="shared" si="17"/>
        <v>0.39064999999999994</v>
      </c>
      <c r="E111" s="6">
        <f t="shared" si="18"/>
        <v>0.40580123472366025</v>
      </c>
      <c r="G111" s="6">
        <f t="shared" si="10"/>
        <v>0.62458740030316584</v>
      </c>
      <c r="H111" s="6">
        <f t="shared" si="11"/>
        <v>0.63023312091635064</v>
      </c>
      <c r="I111" s="6">
        <f t="shared" si="12"/>
        <v>0.65405750712950272</v>
      </c>
      <c r="K111" s="6">
        <f t="shared" si="13"/>
        <v>0.62458740030316584</v>
      </c>
      <c r="L111" s="6">
        <f t="shared" si="14"/>
        <v>0.62458740030316584</v>
      </c>
      <c r="M111" s="6">
        <f t="shared" si="15"/>
        <v>0.65405750712950272</v>
      </c>
    </row>
    <row r="112" spans="2:13" x14ac:dyDescent="0.25">
      <c r="B112">
        <v>80</v>
      </c>
      <c r="C112" s="6">
        <f t="shared" si="16"/>
        <v>0.33279999999999976</v>
      </c>
      <c r="D112" s="6">
        <f t="shared" si="17"/>
        <v>0.3620000000000001</v>
      </c>
      <c r="E112" s="6">
        <f t="shared" si="18"/>
        <v>0.384826841230823</v>
      </c>
      <c r="G112" s="6">
        <f t="shared" si="10"/>
        <v>0.58932694895805426</v>
      </c>
      <c r="H112" s="6">
        <f t="shared" si="11"/>
        <v>0.58401226103089476</v>
      </c>
      <c r="I112" s="6">
        <f t="shared" si="12"/>
        <v>0.62025164764063179</v>
      </c>
      <c r="K112" s="6">
        <f t="shared" si="13"/>
        <v>0.58932694895805426</v>
      </c>
      <c r="L112" s="6">
        <f t="shared" si="14"/>
        <v>0.58401226103089476</v>
      </c>
      <c r="M112" s="6">
        <f t="shared" si="15"/>
        <v>0.62025164764063179</v>
      </c>
    </row>
    <row r="113" spans="2:13" x14ac:dyDescent="0.25">
      <c r="B113">
        <v>81</v>
      </c>
      <c r="C113" s="6">
        <f t="shared" si="16"/>
        <v>0.31435199999999952</v>
      </c>
      <c r="D113" s="6">
        <f t="shared" si="17"/>
        <v>0.33335000000000026</v>
      </c>
      <c r="E113" s="6">
        <f t="shared" si="18"/>
        <v>0.36493653803823328</v>
      </c>
      <c r="G113" s="6">
        <f t="shared" si="10"/>
        <v>0.55665896952783089</v>
      </c>
      <c r="H113" s="6">
        <f t="shared" si="11"/>
        <v>0.53779140114543877</v>
      </c>
      <c r="I113" s="6">
        <f t="shared" si="12"/>
        <v>0.58819309037415557</v>
      </c>
      <c r="K113" s="6">
        <f t="shared" si="13"/>
        <v>0.55665896952783089</v>
      </c>
      <c r="L113" s="6">
        <f t="shared" si="14"/>
        <v>0.53779140114543877</v>
      </c>
      <c r="M113" s="6">
        <f t="shared" si="15"/>
        <v>0.58819309037415557</v>
      </c>
    </row>
    <row r="114" spans="2:13" x14ac:dyDescent="0.25">
      <c r="B114">
        <v>82</v>
      </c>
      <c r="C114" s="6">
        <f t="shared" si="16"/>
        <v>0.29736799999999874</v>
      </c>
      <c r="D114" s="6">
        <f t="shared" si="17"/>
        <v>0.30469999999999997</v>
      </c>
      <c r="E114" s="6">
        <f t="shared" si="18"/>
        <v>0.34607429245157295</v>
      </c>
      <c r="G114" s="6">
        <f t="shared" si="10"/>
        <v>0.52658346201249417</v>
      </c>
      <c r="H114" s="6">
        <f t="shared" si="11"/>
        <v>0.49157054125998217</v>
      </c>
      <c r="I114" s="6">
        <f t="shared" si="12"/>
        <v>0.55779152361776885</v>
      </c>
      <c r="K114" s="6">
        <f t="shared" si="13"/>
        <v>0.52658346201249417</v>
      </c>
      <c r="L114" s="6">
        <f t="shared" si="14"/>
        <v>0.49157054125998217</v>
      </c>
      <c r="M114" s="6">
        <f t="shared" si="15"/>
        <v>0.55779152361776885</v>
      </c>
    </row>
    <row r="115" spans="2:13" x14ac:dyDescent="0.25">
      <c r="B115">
        <v>83</v>
      </c>
      <c r="C115" s="6">
        <f t="shared" si="16"/>
        <v>0.28184799999999921</v>
      </c>
      <c r="D115" s="6">
        <f t="shared" si="17"/>
        <v>0.27605000000000013</v>
      </c>
      <c r="E115" s="6">
        <f t="shared" si="18"/>
        <v>0.3281869679031949</v>
      </c>
      <c r="G115" s="6">
        <f t="shared" si="10"/>
        <v>0.49910042641204727</v>
      </c>
      <c r="H115" s="6">
        <f t="shared" si="11"/>
        <v>0.4453496813745263</v>
      </c>
      <c r="I115" s="6">
        <f t="shared" si="12"/>
        <v>0.52896130354390569</v>
      </c>
      <c r="K115" s="6">
        <f t="shared" si="13"/>
        <v>0.49910042641204727</v>
      </c>
      <c r="L115" s="6">
        <f t="shared" si="14"/>
        <v>0.4453496813745263</v>
      </c>
      <c r="M115" s="6">
        <f t="shared" si="15"/>
        <v>0.52896130354390569</v>
      </c>
    </row>
    <row r="116" spans="2:13" x14ac:dyDescent="0.25">
      <c r="B116">
        <v>84</v>
      </c>
      <c r="C116" s="6">
        <f t="shared" si="16"/>
        <v>0.26779199999999825</v>
      </c>
      <c r="D116" s="6">
        <f t="shared" si="17"/>
        <v>0.24739999999999984</v>
      </c>
      <c r="E116" s="6">
        <f t="shared" si="18"/>
        <v>0.31122417426184429</v>
      </c>
      <c r="G116" s="6">
        <f t="shared" si="10"/>
        <v>0.47420986272648546</v>
      </c>
      <c r="H116" s="6">
        <f t="shared" si="11"/>
        <v>0.3991288214890697</v>
      </c>
      <c r="I116" s="6">
        <f t="shared" si="12"/>
        <v>0.50162121294371542</v>
      </c>
      <c r="K116" s="6">
        <f t="shared" si="13"/>
        <v>0.47420986272648546</v>
      </c>
      <c r="L116" s="6">
        <f t="shared" si="14"/>
        <v>0.3991288214890697</v>
      </c>
      <c r="M116" s="6">
        <f t="shared" si="15"/>
        <v>0.50162121294371542</v>
      </c>
    </row>
    <row r="117" spans="2:13" x14ac:dyDescent="0.25">
      <c r="B117">
        <v>85</v>
      </c>
      <c r="C117" s="6">
        <f t="shared" si="16"/>
        <v>0.25520000000000032</v>
      </c>
      <c r="D117" s="6">
        <f t="shared" si="17"/>
        <v>0.21875</v>
      </c>
      <c r="E117" s="6">
        <f t="shared" si="18"/>
        <v>0.29513812587932398</v>
      </c>
      <c r="G117" s="6">
        <f t="shared" si="10"/>
        <v>0.45191177095581653</v>
      </c>
      <c r="H117" s="6">
        <f t="shared" si="11"/>
        <v>0.35290796160361376</v>
      </c>
      <c r="I117" s="6">
        <f t="shared" si="12"/>
        <v>0.47569423243119813</v>
      </c>
      <c r="K117" s="6">
        <f t="shared" si="13"/>
        <v>0.45191177095581653</v>
      </c>
      <c r="L117" s="6">
        <f t="shared" si="14"/>
        <v>0.35290796160361376</v>
      </c>
      <c r="M117" s="6">
        <f t="shared" si="15"/>
        <v>0.47569423243119813</v>
      </c>
    </row>
    <row r="118" spans="2:13" x14ac:dyDescent="0.25">
      <c r="B118">
        <v>86</v>
      </c>
      <c r="C118" s="6">
        <f t="shared" si="16"/>
        <v>0.24407200000000007</v>
      </c>
      <c r="D118" s="6">
        <f t="shared" si="17"/>
        <v>0.19010000000000016</v>
      </c>
      <c r="E118" s="6">
        <f t="shared" si="18"/>
        <v>0.2798835069742166</v>
      </c>
      <c r="G118" s="6">
        <f t="shared" si="10"/>
        <v>0.43220615110003113</v>
      </c>
      <c r="H118" s="6">
        <f t="shared" si="11"/>
        <v>0.30668710171815788</v>
      </c>
      <c r="I118" s="6">
        <f t="shared" si="12"/>
        <v>0.45110732347297511</v>
      </c>
      <c r="K118" s="6">
        <f t="shared" si="13"/>
        <v>0.43220615110003113</v>
      </c>
      <c r="L118" s="6">
        <f t="shared" si="14"/>
        <v>0.30668710171815788</v>
      </c>
      <c r="M118" s="6">
        <f t="shared" si="15"/>
        <v>0.45110732347297511</v>
      </c>
    </row>
    <row r="119" spans="2:13" x14ac:dyDescent="0.25">
      <c r="B119">
        <v>87</v>
      </c>
      <c r="C119" s="6">
        <f t="shared" si="16"/>
        <v>0.23440799999999928</v>
      </c>
      <c r="D119" s="6">
        <f t="shared" si="17"/>
        <v>0.16144999999999987</v>
      </c>
      <c r="E119" s="6">
        <f t="shared" si="18"/>
        <v>0.26541734397343114</v>
      </c>
      <c r="G119" s="6">
        <f t="shared" si="10"/>
        <v>0.41509300315913239</v>
      </c>
      <c r="H119" s="6">
        <f t="shared" si="11"/>
        <v>0.26046624183270123</v>
      </c>
      <c r="I119" s="6">
        <f t="shared" si="12"/>
        <v>0.42779122263245906</v>
      </c>
      <c r="K119" s="6">
        <f t="shared" si="13"/>
        <v>0.41509300315913239</v>
      </c>
      <c r="L119" s="6">
        <f t="shared" si="14"/>
        <v>0.26046624183270123</v>
      </c>
      <c r="M119" s="6">
        <f t="shared" si="15"/>
        <v>0.42779122263245906</v>
      </c>
    </row>
    <row r="120" spans="2:13" x14ac:dyDescent="0.25">
      <c r="B120">
        <v>88</v>
      </c>
      <c r="C120" s="6">
        <f t="shared" si="16"/>
        <v>0.22620799999999885</v>
      </c>
      <c r="D120" s="6">
        <f t="shared" si="17"/>
        <v>0.13280000000000003</v>
      </c>
      <c r="E120" s="6">
        <f t="shared" si="18"/>
        <v>0.25169888445195276</v>
      </c>
      <c r="G120" s="6">
        <f t="shared" si="10"/>
        <v>0.40057232713312191</v>
      </c>
      <c r="H120" s="6">
        <f t="shared" si="11"/>
        <v>0.21424538194724535</v>
      </c>
      <c r="I120" s="6">
        <f t="shared" si="12"/>
        <v>0.40568024644879791</v>
      </c>
      <c r="K120" s="6">
        <f t="shared" si="13"/>
        <v>0.40057232713312191</v>
      </c>
      <c r="L120" s="6">
        <f t="shared" si="14"/>
        <v>0.21424538194724535</v>
      </c>
      <c r="M120" s="6">
        <f t="shared" si="15"/>
        <v>0.40568024644879791</v>
      </c>
    </row>
    <row r="121" spans="2:13" x14ac:dyDescent="0.25">
      <c r="B121">
        <v>89</v>
      </c>
      <c r="C121" s="6">
        <f t="shared" si="16"/>
        <v>0.21947199999999878</v>
      </c>
      <c r="D121" s="6">
        <f t="shared" si="17"/>
        <v>0.10415000000000019</v>
      </c>
      <c r="E121" s="6">
        <f t="shared" si="18"/>
        <v>0.23868948232975756</v>
      </c>
      <c r="G121" s="6">
        <f t="shared" si="10"/>
        <v>0.38864412302199958</v>
      </c>
      <c r="H121" s="6">
        <f t="shared" si="11"/>
        <v>0.16802452206178944</v>
      </c>
      <c r="I121" s="6">
        <f t="shared" si="12"/>
        <v>0.38471210640091813</v>
      </c>
      <c r="K121" s="6">
        <f t="shared" si="13"/>
        <v>0.38864412302199958</v>
      </c>
      <c r="L121" s="6">
        <f t="shared" si="14"/>
        <v>0.16802452206178944</v>
      </c>
      <c r="M121" s="6">
        <f t="shared" si="15"/>
        <v>0.38864412302199958</v>
      </c>
    </row>
    <row r="122" spans="2:13" x14ac:dyDescent="0.25">
      <c r="B122">
        <v>90</v>
      </c>
      <c r="C122" s="6">
        <f t="shared" si="16"/>
        <v>0.21419999999999817</v>
      </c>
      <c r="D122" s="6">
        <f t="shared" si="17"/>
        <v>7.5499999999999901E-2</v>
      </c>
      <c r="E122" s="6">
        <f t="shared" si="18"/>
        <v>0.22635248900248209</v>
      </c>
      <c r="G122" s="6">
        <f t="shared" si="10"/>
        <v>0.37930839082576395</v>
      </c>
      <c r="H122" s="6">
        <f t="shared" si="11"/>
        <v>0.12180366217633282</v>
      </c>
      <c r="I122" s="6">
        <f t="shared" si="12"/>
        <v>0.3648277334354047</v>
      </c>
      <c r="K122" s="6">
        <f t="shared" si="13"/>
        <v>0.37930839082576395</v>
      </c>
      <c r="L122" s="6">
        <f t="shared" si="14"/>
        <v>0.12180366217633282</v>
      </c>
      <c r="M122" s="6">
        <f t="shared" si="15"/>
        <v>0.37930839082576395</v>
      </c>
    </row>
    <row r="123" spans="2:13" x14ac:dyDescent="0.25">
      <c r="C123" s="6"/>
      <c r="D123" s="6"/>
      <c r="E123" s="6"/>
    </row>
    <row r="124" spans="2:13" x14ac:dyDescent="0.25">
      <c r="C124" s="6"/>
      <c r="D124" s="6"/>
      <c r="E124" s="6"/>
    </row>
    <row r="125" spans="2:13" x14ac:dyDescent="0.25">
      <c r="C125" s="6"/>
      <c r="D125" s="6"/>
      <c r="E125" s="6"/>
    </row>
    <row r="126" spans="2:13" x14ac:dyDescent="0.25">
      <c r="C126" s="6"/>
      <c r="D126" s="6"/>
      <c r="E126" s="6"/>
    </row>
    <row r="127" spans="2:13" x14ac:dyDescent="0.25">
      <c r="C127" s="6"/>
      <c r="D127" s="6"/>
      <c r="E127" s="6"/>
    </row>
    <row r="128" spans="2:13" x14ac:dyDescent="0.25">
      <c r="C128" s="6"/>
      <c r="D128" s="6"/>
      <c r="E128" s="6"/>
    </row>
    <row r="129" spans="3:5" x14ac:dyDescent="0.25">
      <c r="C129" s="6"/>
      <c r="D129" s="6"/>
      <c r="E129" s="6"/>
    </row>
    <row r="130" spans="3:5" x14ac:dyDescent="0.25">
      <c r="C130" s="6"/>
      <c r="D130" s="6"/>
      <c r="E130" s="6"/>
    </row>
    <row r="131" spans="3:5" x14ac:dyDescent="0.25">
      <c r="C131" s="6"/>
      <c r="D131" s="6"/>
      <c r="E131" s="6"/>
    </row>
    <row r="132" spans="3:5" x14ac:dyDescent="0.25">
      <c r="C132" s="6"/>
      <c r="D132" s="6"/>
      <c r="E132" s="6"/>
    </row>
  </sheetData>
  <mergeCells count="1">
    <mergeCell ref="C9:E9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C49"/>
  <sheetViews>
    <sheetView topLeftCell="A4" zoomScale="85" zoomScaleNormal="85" workbookViewId="0">
      <selection activeCell="A21" sqref="A21"/>
    </sheetView>
  </sheetViews>
  <sheetFormatPr defaultRowHeight="15" x14ac:dyDescent="0.25"/>
  <cols>
    <col min="1" max="1" width="24.5703125" customWidth="1"/>
    <col min="2" max="2" width="14.140625" customWidth="1"/>
    <col min="3" max="3" width="14" customWidth="1"/>
    <col min="4" max="4" width="10.85546875" bestFit="1" customWidth="1"/>
    <col min="5" max="7" width="4.5703125" bestFit="1" customWidth="1"/>
    <col min="8" max="9" width="3" bestFit="1" customWidth="1"/>
    <col min="10" max="13" width="4" bestFit="1" customWidth="1"/>
    <col min="14" max="15" width="3" bestFit="1" customWidth="1"/>
    <col min="16" max="16" width="14.5703125" customWidth="1"/>
    <col min="18" max="18" width="17.28515625" bestFit="1" customWidth="1"/>
    <col min="19" max="19" width="7.7109375" bestFit="1" customWidth="1"/>
    <col min="20" max="20" width="3.140625" customWidth="1"/>
    <col min="21" max="21" width="12" bestFit="1" customWidth="1"/>
    <col min="22" max="22" width="7.7109375" bestFit="1" customWidth="1"/>
    <col min="23" max="23" width="3.42578125" customWidth="1"/>
    <col min="24" max="25" width="12.7109375" bestFit="1" customWidth="1"/>
    <col min="26" max="27" width="7.7109375" bestFit="1" customWidth="1"/>
    <col min="28" max="28" width="9.5703125" bestFit="1" customWidth="1"/>
    <col min="29" max="29" width="7.28515625" bestFit="1" customWidth="1"/>
  </cols>
  <sheetData>
    <row r="1" spans="1:27" ht="18.75" x14ac:dyDescent="0.3">
      <c r="A1" s="22" t="s">
        <v>322</v>
      </c>
    </row>
    <row r="2" spans="1:27" ht="18.75" x14ac:dyDescent="0.3">
      <c r="A2" s="22"/>
    </row>
    <row r="3" spans="1:27" x14ac:dyDescent="0.25">
      <c r="A3" s="23" t="s">
        <v>231</v>
      </c>
    </row>
    <row r="4" spans="1:27" x14ac:dyDescent="0.25">
      <c r="A4" s="1" t="s">
        <v>298</v>
      </c>
      <c r="B4" t="s">
        <v>377</v>
      </c>
    </row>
    <row r="5" spans="1:27" x14ac:dyDescent="0.25">
      <c r="A5" s="1"/>
    </row>
    <row r="6" spans="1:27" x14ac:dyDescent="0.25">
      <c r="A6" s="1" t="s">
        <v>299</v>
      </c>
    </row>
    <row r="7" spans="1:27" x14ac:dyDescent="0.25">
      <c r="A7" s="1" t="s">
        <v>378</v>
      </c>
    </row>
    <row r="8" spans="1:27" x14ac:dyDescent="0.25">
      <c r="A8" s="1"/>
    </row>
    <row r="9" spans="1:27" x14ac:dyDescent="0.25">
      <c r="A9" s="97"/>
      <c r="B9" s="111" t="s">
        <v>214</v>
      </c>
      <c r="C9" s="111"/>
      <c r="D9" s="111"/>
      <c r="E9" s="111"/>
      <c r="F9" s="111"/>
      <c r="G9" s="111"/>
      <c r="H9" s="111"/>
      <c r="I9" s="63"/>
      <c r="J9" s="63"/>
      <c r="K9" s="64"/>
      <c r="Q9" s="103" t="s">
        <v>315</v>
      </c>
    </row>
    <row r="10" spans="1:27" x14ac:dyDescent="0.25">
      <c r="A10" s="65"/>
      <c r="B10" s="28">
        <v>0</v>
      </c>
      <c r="C10" s="28">
        <v>1</v>
      </c>
      <c r="D10" s="28">
        <v>2</v>
      </c>
      <c r="E10" s="28">
        <v>3</v>
      </c>
      <c r="F10" s="28">
        <v>4</v>
      </c>
      <c r="G10" s="28">
        <v>5</v>
      </c>
      <c r="H10" s="28">
        <v>6</v>
      </c>
      <c r="I10" s="27"/>
      <c r="J10" s="28" t="s">
        <v>223</v>
      </c>
      <c r="K10" s="66"/>
      <c r="Q10" s="7" t="s">
        <v>319</v>
      </c>
    </row>
    <row r="11" spans="1:27" x14ac:dyDescent="0.25">
      <c r="A11" s="67" t="s">
        <v>300</v>
      </c>
      <c r="B11" s="27">
        <v>160</v>
      </c>
      <c r="C11" s="27">
        <v>191</v>
      </c>
      <c r="D11" s="27">
        <v>200</v>
      </c>
      <c r="E11" s="27">
        <v>140</v>
      </c>
      <c r="F11" s="27">
        <v>97</v>
      </c>
      <c r="G11" s="27">
        <v>36</v>
      </c>
      <c r="H11" s="27">
        <v>66</v>
      </c>
      <c r="I11" s="27"/>
      <c r="J11" s="27">
        <f>SUM(B11:H11)</f>
        <v>890</v>
      </c>
      <c r="K11" s="66"/>
      <c r="Q11" t="s">
        <v>385</v>
      </c>
    </row>
    <row r="12" spans="1:27" x14ac:dyDescent="0.25">
      <c r="A12" s="67" t="s">
        <v>301</v>
      </c>
      <c r="B12" s="27">
        <v>1</v>
      </c>
      <c r="C12" s="27">
        <v>0</v>
      </c>
      <c r="D12" s="27">
        <v>4</v>
      </c>
      <c r="E12" s="27">
        <v>8</v>
      </c>
      <c r="F12" s="27">
        <v>8</v>
      </c>
      <c r="G12" s="27">
        <v>12</v>
      </c>
      <c r="H12" s="27">
        <v>34</v>
      </c>
      <c r="I12" s="27"/>
      <c r="J12" s="27">
        <f>SUM(B12:H12)</f>
        <v>67</v>
      </c>
      <c r="K12" s="66"/>
      <c r="Q12" t="s">
        <v>386</v>
      </c>
    </row>
    <row r="13" spans="1:27" x14ac:dyDescent="0.25">
      <c r="A13" s="98"/>
      <c r="B13" s="75"/>
      <c r="C13" s="75"/>
      <c r="D13" s="75"/>
      <c r="E13" s="75"/>
      <c r="F13" s="75"/>
      <c r="G13" s="75"/>
      <c r="H13" s="75"/>
      <c r="I13" s="75"/>
      <c r="J13" s="75">
        <f>SUM(J11:J12)</f>
        <v>957</v>
      </c>
      <c r="K13" s="99"/>
      <c r="Q13" s="62" t="s">
        <v>227</v>
      </c>
      <c r="R13" s="63"/>
      <c r="S13" s="63"/>
      <c r="T13" s="63"/>
      <c r="U13" s="63"/>
      <c r="V13" s="63"/>
      <c r="W13" s="63"/>
      <c r="X13" s="63"/>
      <c r="Y13" s="63"/>
      <c r="Z13" s="63"/>
      <c r="AA13" s="64"/>
    </row>
    <row r="14" spans="1:27" x14ac:dyDescent="0.25">
      <c r="A14" s="1"/>
      <c r="Q14" s="65"/>
      <c r="R14" s="112" t="s">
        <v>301</v>
      </c>
      <c r="S14" s="112"/>
      <c r="T14" s="28"/>
      <c r="U14" s="112" t="s">
        <v>300</v>
      </c>
      <c r="V14" s="112"/>
      <c r="W14" s="26"/>
      <c r="X14" s="28"/>
      <c r="Y14" s="28"/>
      <c r="Z14" s="28"/>
      <c r="AA14" s="66"/>
    </row>
    <row r="15" spans="1:27" x14ac:dyDescent="0.25">
      <c r="A15" s="1" t="s">
        <v>302</v>
      </c>
      <c r="Q15" s="65"/>
      <c r="R15" s="28" t="s">
        <v>314</v>
      </c>
      <c r="S15" s="28" t="s">
        <v>222</v>
      </c>
      <c r="T15" s="28"/>
      <c r="U15" s="28" t="s">
        <v>314</v>
      </c>
      <c r="V15" s="28" t="s">
        <v>222</v>
      </c>
      <c r="W15" s="28"/>
      <c r="X15" s="28" t="s">
        <v>224</v>
      </c>
      <c r="Y15" s="28"/>
      <c r="Z15" s="28"/>
      <c r="AA15" s="66"/>
    </row>
    <row r="16" spans="1:27" x14ac:dyDescent="0.25">
      <c r="A16" t="s">
        <v>301</v>
      </c>
      <c r="B16" t="s">
        <v>306</v>
      </c>
      <c r="C16" s="10">
        <f>SUM(B12:D12)/SUM(B12:H12)</f>
        <v>7.4626865671641784E-2</v>
      </c>
      <c r="Q16" s="67" t="s">
        <v>108</v>
      </c>
      <c r="R16" s="68">
        <f>1-S16</f>
        <v>7.4626865671641784E-2</v>
      </c>
      <c r="S16" s="68">
        <f>C17</f>
        <v>0.92537313432835822</v>
      </c>
      <c r="T16" s="69"/>
      <c r="U16" s="68">
        <f>1-V16</f>
        <v>0.61910112359550562</v>
      </c>
      <c r="V16" s="70">
        <f>C21</f>
        <v>0.38089887640449438</v>
      </c>
      <c r="W16" s="70"/>
      <c r="X16" s="68">
        <f>(S16*$J$12+V16*$J$11)/$J$13</f>
        <v>0.41901776384535006</v>
      </c>
      <c r="Y16" s="27"/>
      <c r="Z16" s="27"/>
      <c r="AA16" s="66"/>
    </row>
    <row r="17" spans="1:29" x14ac:dyDescent="0.25">
      <c r="B17" t="s">
        <v>226</v>
      </c>
      <c r="C17" s="10">
        <f>1-C16</f>
        <v>0.92537313432835822</v>
      </c>
      <c r="Q17" s="67" t="s">
        <v>219</v>
      </c>
      <c r="R17" s="27"/>
      <c r="S17" s="69">
        <f>S16</f>
        <v>0.92537313432835822</v>
      </c>
      <c r="T17" s="69"/>
      <c r="U17" s="27"/>
      <c r="V17" s="69">
        <f>V16</f>
        <v>0.38089887640449438</v>
      </c>
      <c r="W17" s="69"/>
      <c r="X17" s="71"/>
      <c r="Y17" s="72"/>
      <c r="Z17" s="73"/>
      <c r="AA17" s="66"/>
    </row>
    <row r="18" spans="1:29" x14ac:dyDescent="0.25">
      <c r="B18" t="s">
        <v>216</v>
      </c>
      <c r="C18" s="10">
        <f>H12/SUM(B12:H12)</f>
        <v>0.5074626865671642</v>
      </c>
      <c r="Q18" s="67" t="s">
        <v>220</v>
      </c>
      <c r="R18" s="27"/>
      <c r="S18" s="29">
        <f>S16/R16</f>
        <v>12.4</v>
      </c>
      <c r="T18" s="27"/>
      <c r="U18" s="27"/>
      <c r="V18" s="29">
        <f>V16/U16</f>
        <v>0.61524500907441015</v>
      </c>
      <c r="W18" s="29"/>
      <c r="X18" s="71"/>
      <c r="Y18" s="29"/>
      <c r="Z18" s="27"/>
      <c r="AA18" s="66"/>
    </row>
    <row r="19" spans="1:29" x14ac:dyDescent="0.25">
      <c r="Q19" s="65"/>
      <c r="R19" s="27"/>
      <c r="S19" s="27"/>
      <c r="T19" s="27"/>
      <c r="U19" s="27"/>
      <c r="V19" s="27"/>
      <c r="W19" s="27"/>
      <c r="X19" s="27"/>
      <c r="Y19" s="27"/>
      <c r="Z19" s="27"/>
      <c r="AA19" s="66"/>
    </row>
    <row r="20" spans="1:29" x14ac:dyDescent="0.25">
      <c r="A20" t="s">
        <v>300</v>
      </c>
      <c r="B20" t="s">
        <v>306</v>
      </c>
      <c r="C20" s="10">
        <f>SUM(B11:D11)/SUM(B11:H11)</f>
        <v>0.61910112359550562</v>
      </c>
      <c r="Q20" s="65"/>
      <c r="R20" s="83" t="s">
        <v>316</v>
      </c>
      <c r="S20" s="70">
        <v>0.28197161006419591</v>
      </c>
      <c r="T20" s="69"/>
      <c r="U20" s="69"/>
      <c r="V20" s="69">
        <f>S20*J12/J11</f>
        <v>2.1227076263259693E-2</v>
      </c>
      <c r="W20" s="69"/>
      <c r="X20" s="68">
        <f>(S21*$J$12+V21*$J$11)/$J$13</f>
        <v>0.41901776384535006</v>
      </c>
      <c r="Y20" s="73"/>
      <c r="Z20" s="73"/>
      <c r="AA20" s="66"/>
    </row>
    <row r="21" spans="1:29" x14ac:dyDescent="0.25">
      <c r="B21" t="s">
        <v>226</v>
      </c>
      <c r="C21" s="10">
        <f>1-C20</f>
        <v>0.38089887640449438</v>
      </c>
      <c r="Q21" s="67" t="s">
        <v>108</v>
      </c>
      <c r="R21" s="70">
        <f>R16+S20</f>
        <v>0.35659847573583769</v>
      </c>
      <c r="S21" s="70">
        <f>S16-S20</f>
        <v>0.64340152426416231</v>
      </c>
      <c r="T21" s="69"/>
      <c r="U21" s="68">
        <f>U16-V20</f>
        <v>0.59787404733224592</v>
      </c>
      <c r="V21" s="68">
        <f>V16+V20</f>
        <v>0.40212595266775408</v>
      </c>
      <c r="W21" s="68"/>
      <c r="X21" s="27"/>
      <c r="Y21" s="27"/>
      <c r="Z21" s="59" t="s">
        <v>317</v>
      </c>
      <c r="AA21" s="66"/>
    </row>
    <row r="22" spans="1:29" ht="15.75" thickBot="1" x14ac:dyDescent="0.3">
      <c r="B22" t="s">
        <v>216</v>
      </c>
      <c r="C22" s="10">
        <f>H11/SUM(B11:H11)</f>
        <v>7.415730337078652E-2</v>
      </c>
      <c r="Q22" s="67" t="s">
        <v>219</v>
      </c>
      <c r="R22" s="18"/>
      <c r="S22" s="84">
        <f>S21</f>
        <v>0.64340152426416231</v>
      </c>
      <c r="T22" s="69"/>
      <c r="U22" s="69"/>
      <c r="V22" s="69">
        <f>V21</f>
        <v>0.40212595266775408</v>
      </c>
      <c r="W22" s="69"/>
      <c r="X22" s="71" t="s">
        <v>320</v>
      </c>
      <c r="Y22" s="72">
        <f>S22/V22</f>
        <v>1.5999999999894454</v>
      </c>
      <c r="Z22" s="73">
        <f>Y22-B34</f>
        <v>-1.0554668250506438E-11</v>
      </c>
      <c r="AA22" s="66"/>
    </row>
    <row r="23" spans="1:29" ht="15.75" thickBot="1" x14ac:dyDescent="0.3">
      <c r="Q23" s="74" t="s">
        <v>220</v>
      </c>
      <c r="R23" s="85"/>
      <c r="S23" s="86">
        <f>S21/R21</f>
        <v>1.8042744656620002</v>
      </c>
      <c r="T23" s="75"/>
      <c r="U23" s="75"/>
      <c r="V23" s="76">
        <f>V21/U21</f>
        <v>0.67259308956805708</v>
      </c>
      <c r="W23" s="76"/>
      <c r="X23" s="79" t="s">
        <v>321</v>
      </c>
      <c r="Y23" s="104">
        <f>S23/V23</f>
        <v>2.6825646793676023</v>
      </c>
      <c r="Z23" s="80">
        <f>$Y$23/$Y$22*C34</f>
        <v>2.3472440944621358</v>
      </c>
      <c r="AA23" s="81">
        <f>$Y$23/$Y$22*D34</f>
        <v>3.1855455567700415</v>
      </c>
    </row>
    <row r="24" spans="1:29" x14ac:dyDescent="0.25">
      <c r="A24" t="s">
        <v>305</v>
      </c>
      <c r="B24" t="s">
        <v>306</v>
      </c>
      <c r="C24" s="10">
        <f>SUM(B11:D12)/SUM(B11:H12)</f>
        <v>0.58098223615464994</v>
      </c>
      <c r="Q24" s="1"/>
      <c r="R24" s="11"/>
      <c r="S24" s="11"/>
      <c r="Y24" s="7"/>
    </row>
    <row r="25" spans="1:29" x14ac:dyDescent="0.25">
      <c r="B25" t="s">
        <v>221</v>
      </c>
      <c r="C25" s="10">
        <f>1-C24</f>
        <v>0.41901776384535006</v>
      </c>
      <c r="Q25" s="62" t="s">
        <v>228</v>
      </c>
      <c r="R25" s="87"/>
      <c r="S25" s="87"/>
      <c r="T25" s="63"/>
      <c r="U25" s="63"/>
      <c r="V25" s="63"/>
      <c r="W25" s="63"/>
      <c r="X25" s="63"/>
      <c r="Y25" s="90"/>
      <c r="Z25" s="63"/>
      <c r="AA25" s="64"/>
    </row>
    <row r="26" spans="1:29" x14ac:dyDescent="0.25">
      <c r="B26" t="s">
        <v>216</v>
      </c>
      <c r="C26" s="10">
        <f>SUM(H11:H12)/SUM(B11:H12)</f>
        <v>0.1044932079414838</v>
      </c>
      <c r="Q26" s="65"/>
      <c r="R26" s="113" t="s">
        <v>303</v>
      </c>
      <c r="S26" s="113"/>
      <c r="T26" s="28"/>
      <c r="U26" s="112" t="s">
        <v>304</v>
      </c>
      <c r="V26" s="112"/>
      <c r="W26" s="28"/>
      <c r="X26" s="27"/>
      <c r="Y26" s="91"/>
      <c r="Z26" s="28"/>
      <c r="AA26" s="66"/>
      <c r="AC26" s="5"/>
    </row>
    <row r="27" spans="1:29" x14ac:dyDescent="0.25">
      <c r="Q27" s="65"/>
      <c r="R27" s="88" t="s">
        <v>318</v>
      </c>
      <c r="S27" s="88" t="s">
        <v>225</v>
      </c>
      <c r="T27" s="28"/>
      <c r="U27" s="28" t="s">
        <v>318</v>
      </c>
      <c r="V27" s="28" t="s">
        <v>225</v>
      </c>
      <c r="W27" s="28"/>
      <c r="X27" s="28" t="s">
        <v>224</v>
      </c>
      <c r="Y27" s="91"/>
      <c r="Z27" s="28"/>
      <c r="AA27" s="66"/>
      <c r="AC27" s="5"/>
    </row>
    <row r="28" spans="1:29" x14ac:dyDescent="0.25">
      <c r="Q28" s="67" t="s">
        <v>108</v>
      </c>
      <c r="R28" s="70">
        <f>1-S28</f>
        <v>0.4925373134328358</v>
      </c>
      <c r="S28" s="70">
        <f>C18</f>
        <v>0.5074626865671642</v>
      </c>
      <c r="T28" s="69"/>
      <c r="U28" s="68">
        <f>1-V28</f>
        <v>0.92584269662921348</v>
      </c>
      <c r="V28" s="70">
        <f>C22</f>
        <v>7.415730337078652E-2</v>
      </c>
      <c r="W28" s="27"/>
      <c r="X28" s="68">
        <f>(S28*$J$12+V28*$J$11)/$J$13</f>
        <v>0.1044932079414838</v>
      </c>
      <c r="Y28" s="92"/>
      <c r="Z28" s="27"/>
      <c r="AA28" s="66"/>
      <c r="AC28" s="5"/>
    </row>
    <row r="29" spans="1:29" x14ac:dyDescent="0.25">
      <c r="A29" s="1" t="s">
        <v>307</v>
      </c>
      <c r="Q29" s="67" t="s">
        <v>219</v>
      </c>
      <c r="R29" s="84"/>
      <c r="S29" s="84">
        <f>S28</f>
        <v>0.5074626865671642</v>
      </c>
      <c r="T29" s="69"/>
      <c r="U29" s="69"/>
      <c r="V29" s="69">
        <f>V28</f>
        <v>7.415730337078652E-2</v>
      </c>
      <c r="W29" s="77"/>
      <c r="X29" s="27"/>
      <c r="Y29" s="93"/>
      <c r="Z29" s="73"/>
      <c r="AA29" s="66"/>
      <c r="AC29" s="5"/>
    </row>
    <row r="30" spans="1:29" x14ac:dyDescent="0.25">
      <c r="A30" s="1" t="s">
        <v>379</v>
      </c>
      <c r="Q30" s="67" t="s">
        <v>220</v>
      </c>
      <c r="R30" s="18"/>
      <c r="S30" s="89">
        <f>S28/R28</f>
        <v>1.0303030303030305</v>
      </c>
      <c r="T30" s="29"/>
      <c r="U30" s="29"/>
      <c r="V30" s="29">
        <f>V28/U28</f>
        <v>8.0097087378640783E-2</v>
      </c>
      <c r="W30" s="27"/>
      <c r="X30" s="27"/>
      <c r="Y30" s="92"/>
      <c r="Z30" s="27"/>
      <c r="AA30" s="66"/>
    </row>
    <row r="31" spans="1:29" x14ac:dyDescent="0.25">
      <c r="Q31" s="65"/>
      <c r="R31" s="18"/>
      <c r="S31" s="18"/>
      <c r="T31" s="27"/>
      <c r="U31" s="27"/>
      <c r="V31" s="27"/>
      <c r="W31" s="27"/>
      <c r="X31" s="27"/>
      <c r="Y31" s="93"/>
      <c r="Z31" s="27"/>
      <c r="AA31" s="66"/>
    </row>
    <row r="32" spans="1:29" x14ac:dyDescent="0.25">
      <c r="A32" s="97"/>
      <c r="B32" s="100" t="s">
        <v>263</v>
      </c>
      <c r="C32" s="100" t="s">
        <v>312</v>
      </c>
      <c r="D32" s="100" t="s">
        <v>313</v>
      </c>
      <c r="E32" s="64"/>
      <c r="Q32" s="65"/>
      <c r="R32" s="83" t="s">
        <v>316</v>
      </c>
      <c r="S32" s="70">
        <v>0.17546897702151254</v>
      </c>
      <c r="T32" s="69"/>
      <c r="U32" s="69"/>
      <c r="V32" s="69">
        <f>S32*J12/J11</f>
        <v>1.320946231510263E-2</v>
      </c>
      <c r="W32" s="27"/>
      <c r="X32" s="68">
        <f>(S33*$J$12+V33*$J$11)/$J$13</f>
        <v>0.1044932079414838</v>
      </c>
      <c r="Y32" s="93"/>
      <c r="Z32" s="73"/>
      <c r="AA32" s="66"/>
    </row>
    <row r="33" spans="1:29" x14ac:dyDescent="0.25">
      <c r="A33" s="65" t="s">
        <v>308</v>
      </c>
      <c r="B33" s="27">
        <v>2.4</v>
      </c>
      <c r="C33" s="27">
        <v>2.2000000000000002</v>
      </c>
      <c r="D33" s="27">
        <v>2.7</v>
      </c>
      <c r="E33" s="66"/>
      <c r="Q33" s="67" t="s">
        <v>108</v>
      </c>
      <c r="R33" s="68">
        <f>R28+S32</f>
        <v>0.66800629045434834</v>
      </c>
      <c r="S33" s="68">
        <f>S28-S32</f>
        <v>0.33199370954565166</v>
      </c>
      <c r="T33" s="69"/>
      <c r="U33" s="68">
        <f>U28-V32</f>
        <v>0.91263323431411081</v>
      </c>
      <c r="V33" s="68">
        <f>V28+V32</f>
        <v>8.736676568588915E-2</v>
      </c>
      <c r="W33" s="27"/>
      <c r="X33" s="27"/>
      <c r="Y33" s="92"/>
      <c r="Z33" s="59" t="s">
        <v>317</v>
      </c>
      <c r="AA33" s="66"/>
    </row>
    <row r="34" spans="1:29" ht="15.75" thickBot="1" x14ac:dyDescent="0.3">
      <c r="A34" s="65" t="s">
        <v>309</v>
      </c>
      <c r="B34" s="27">
        <v>1.6</v>
      </c>
      <c r="C34" s="27">
        <v>1.4</v>
      </c>
      <c r="D34" s="27">
        <v>1.9</v>
      </c>
      <c r="E34" s="101"/>
      <c r="Q34" s="67" t="s">
        <v>219</v>
      </c>
      <c r="R34" s="69"/>
      <c r="S34" s="69">
        <f>S33</f>
        <v>0.33199370954565166</v>
      </c>
      <c r="T34" s="69"/>
      <c r="U34" s="69"/>
      <c r="V34" s="69">
        <f>V33</f>
        <v>8.736676568588915E-2</v>
      </c>
      <c r="W34" s="78"/>
      <c r="X34" s="71" t="s">
        <v>320</v>
      </c>
      <c r="Y34" s="94">
        <f>S34/V34</f>
        <v>3.7999999993049176</v>
      </c>
      <c r="Z34" s="73">
        <f>Y34-B37</f>
        <v>-6.9508221400838011E-10</v>
      </c>
      <c r="AA34" s="66"/>
    </row>
    <row r="35" spans="1:29" ht="15.75" thickBot="1" x14ac:dyDescent="0.3">
      <c r="A35" s="65"/>
      <c r="B35" s="27"/>
      <c r="C35" s="27"/>
      <c r="D35" s="27"/>
      <c r="E35" s="66"/>
      <c r="Q35" s="74" t="s">
        <v>220</v>
      </c>
      <c r="R35" s="75"/>
      <c r="S35" s="76">
        <f>S33/R33</f>
        <v>0.49699189107911579</v>
      </c>
      <c r="T35" s="75"/>
      <c r="U35" s="75"/>
      <c r="V35" s="76">
        <f>V33/U33</f>
        <v>9.5730423132738107E-2</v>
      </c>
      <c r="W35" s="75"/>
      <c r="X35" s="79" t="s">
        <v>321</v>
      </c>
      <c r="Y35" s="104">
        <f>S35/V35</f>
        <v>5.1915772939809912</v>
      </c>
      <c r="Z35" s="80">
        <f>$Y$35/$Y$34*C37</f>
        <v>3.5521318333735792</v>
      </c>
      <c r="AA35" s="81">
        <f>$Y$35/$Y$34*D37</f>
        <v>7.6507454872661702</v>
      </c>
      <c r="AB35" s="10"/>
    </row>
    <row r="36" spans="1:29" x14ac:dyDescent="0.25">
      <c r="A36" s="65" t="s">
        <v>310</v>
      </c>
      <c r="B36" s="27">
        <v>6.8</v>
      </c>
      <c r="C36" s="27">
        <v>4.9000000000000004</v>
      </c>
      <c r="D36" s="27">
        <v>9.6</v>
      </c>
      <c r="E36" s="66"/>
    </row>
    <row r="37" spans="1:29" x14ac:dyDescent="0.25">
      <c r="A37" s="98" t="s">
        <v>311</v>
      </c>
      <c r="B37" s="75">
        <v>3.8</v>
      </c>
      <c r="C37" s="75">
        <v>2.6</v>
      </c>
      <c r="D37" s="75">
        <v>5.6</v>
      </c>
      <c r="E37" s="102"/>
    </row>
    <row r="45" spans="1:29" x14ac:dyDescent="0.25">
      <c r="AC45" s="5"/>
    </row>
    <row r="46" spans="1:29" x14ac:dyDescent="0.25">
      <c r="AB46" s="10"/>
      <c r="AC46" s="5"/>
    </row>
    <row r="47" spans="1:29" x14ac:dyDescent="0.25">
      <c r="AC47" s="5"/>
    </row>
    <row r="48" spans="1:29" x14ac:dyDescent="0.25">
      <c r="AC48" s="5"/>
    </row>
    <row r="49" spans="29:29" x14ac:dyDescent="0.25">
      <c r="AC49" s="5"/>
    </row>
  </sheetData>
  <mergeCells count="5">
    <mergeCell ref="B9:H9"/>
    <mergeCell ref="R14:S14"/>
    <mergeCell ref="U14:V14"/>
    <mergeCell ref="R26:S26"/>
    <mergeCell ref="U26:V2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68"/>
  <sheetViews>
    <sheetView tabSelected="1" zoomScaleNormal="100" workbookViewId="0">
      <selection activeCell="R21" sqref="R21"/>
    </sheetView>
  </sheetViews>
  <sheetFormatPr defaultRowHeight="15" x14ac:dyDescent="0.25"/>
  <cols>
    <col min="2" max="2" width="17" hidden="1" customWidth="1"/>
    <col min="3" max="3" width="12.28515625" hidden="1" customWidth="1"/>
    <col min="4" max="4" width="12.7109375" bestFit="1" customWidth="1"/>
    <col min="5" max="5" width="12.28515625" bestFit="1" customWidth="1"/>
    <col min="6" max="6" width="38.5703125" hidden="1" customWidth="1"/>
    <col min="7" max="8" width="0" hidden="1" customWidth="1"/>
    <col min="10" max="10" width="8.85546875" bestFit="1" customWidth="1"/>
    <col min="11" max="11" width="7.7109375" bestFit="1" customWidth="1"/>
    <col min="13" max="13" width="15.140625" customWidth="1"/>
    <col min="14" max="14" width="12.5703125" customWidth="1"/>
    <col min="15" max="15" width="10.5703125" customWidth="1"/>
    <col min="16" max="16" width="5.42578125" customWidth="1"/>
    <col min="17" max="17" width="21" customWidth="1"/>
    <col min="18" max="18" width="24.140625" customWidth="1"/>
    <col min="19" max="19" width="9.140625" customWidth="1"/>
  </cols>
  <sheetData>
    <row r="1" spans="1:19" ht="18.75" x14ac:dyDescent="0.3">
      <c r="A1" s="22" t="s">
        <v>349</v>
      </c>
    </row>
    <row r="3" spans="1:19" x14ac:dyDescent="0.25">
      <c r="A3" s="23" t="s">
        <v>231</v>
      </c>
    </row>
    <row r="4" spans="1:19" x14ac:dyDescent="0.25">
      <c r="A4" s="1" t="s">
        <v>267</v>
      </c>
      <c r="E4" t="s">
        <v>358</v>
      </c>
    </row>
    <row r="5" spans="1:19" x14ac:dyDescent="0.25">
      <c r="A5" s="20"/>
    </row>
    <row r="6" spans="1:19" x14ac:dyDescent="0.25">
      <c r="A6" s="20"/>
    </row>
    <row r="7" spans="1:19" x14ac:dyDescent="0.25">
      <c r="A7" s="1" t="s">
        <v>380</v>
      </c>
    </row>
    <row r="8" spans="1:19" ht="15.75" thickBot="1" x14ac:dyDescent="0.3">
      <c r="A8" s="2" t="s">
        <v>381</v>
      </c>
    </row>
    <row r="9" spans="1:19" x14ac:dyDescent="0.25">
      <c r="A9" s="2"/>
      <c r="P9" s="30"/>
      <c r="Q9" s="31"/>
      <c r="R9" s="31"/>
      <c r="S9" s="32"/>
    </row>
    <row r="10" spans="1:19" x14ac:dyDescent="0.25">
      <c r="D10" s="107" t="s">
        <v>263</v>
      </c>
      <c r="E10" s="107"/>
      <c r="M10" s="107" t="s">
        <v>346</v>
      </c>
      <c r="N10" s="107"/>
      <c r="O10" s="19"/>
      <c r="P10" s="35"/>
      <c r="Q10" s="109" t="s">
        <v>347</v>
      </c>
      <c r="R10" s="109"/>
      <c r="S10" s="36"/>
    </row>
    <row r="11" spans="1:19" x14ac:dyDescent="0.25">
      <c r="B11" s="1" t="s">
        <v>263</v>
      </c>
      <c r="C11" s="1" t="s">
        <v>109</v>
      </c>
      <c r="D11" s="19" t="s">
        <v>382</v>
      </c>
      <c r="E11" s="19" t="s">
        <v>215</v>
      </c>
      <c r="F11" s="19"/>
      <c r="G11" s="19" t="s">
        <v>167</v>
      </c>
      <c r="H11" s="19" t="s">
        <v>109</v>
      </c>
      <c r="J11" s="1" t="s">
        <v>345</v>
      </c>
      <c r="M11" s="19" t="s">
        <v>323</v>
      </c>
      <c r="N11" s="19" t="s">
        <v>215</v>
      </c>
      <c r="O11" s="19"/>
      <c r="P11" s="35"/>
      <c r="Q11" s="14" t="s">
        <v>323</v>
      </c>
      <c r="R11" s="14" t="s">
        <v>215</v>
      </c>
      <c r="S11" s="36"/>
    </row>
    <row r="12" spans="1:19" x14ac:dyDescent="0.25">
      <c r="B12" t="s">
        <v>324</v>
      </c>
      <c r="C12">
        <f>FIND(",",B12)</f>
        <v>8</v>
      </c>
      <c r="D12">
        <f>_xlfn.NUMBERVALUE(LEFT(B12,C12-1))</f>
        <v>52.208599999999997</v>
      </c>
      <c r="E12">
        <f>_xlfn.NUMBERVALUE(RIGHT(B12,LEN(B12)-C12))</f>
        <v>1.2911999999999999</v>
      </c>
      <c r="G12" t="s">
        <v>110</v>
      </c>
      <c r="H12">
        <f t="shared" ref="H12:H43" si="0">FIND(",",G12)</f>
        <v>19</v>
      </c>
      <c r="J12" s="95" t="s">
        <v>250</v>
      </c>
      <c r="K12">
        <v>-3.5000000000000001E-3</v>
      </c>
      <c r="M12">
        <v>50</v>
      </c>
      <c r="N12" s="6">
        <f>$K$12*M12+$K$13</f>
        <v>1.2953999999999999</v>
      </c>
      <c r="O12" s="6"/>
      <c r="P12" s="33"/>
      <c r="Q12" s="15">
        <v>50</v>
      </c>
      <c r="R12" s="17">
        <f>N12/$N$15</f>
        <v>1.060152221949423</v>
      </c>
      <c r="S12" s="36"/>
    </row>
    <row r="13" spans="1:19" x14ac:dyDescent="0.25">
      <c r="B13" t="s">
        <v>325</v>
      </c>
      <c r="C13">
        <f t="shared" ref="C13:C32" si="1">FIND(",",B13)</f>
        <v>8</v>
      </c>
      <c r="D13">
        <f t="shared" ref="D13:D32" si="2">_xlfn.NUMBERVALUE(LEFT(B13,C13-1))</f>
        <v>54.084899999999998</v>
      </c>
      <c r="E13">
        <f t="shared" ref="E13:E32" si="3">_xlfn.NUMBERVALUE(RIGHT(B13,LEN(B13)-C13))</f>
        <v>1.2844</v>
      </c>
      <c r="G13" t="s">
        <v>111</v>
      </c>
      <c r="H13">
        <f t="shared" si="0"/>
        <v>19</v>
      </c>
      <c r="J13" s="1" t="s">
        <v>251</v>
      </c>
      <c r="K13">
        <v>1.4703999999999999</v>
      </c>
      <c r="M13">
        <v>60</v>
      </c>
      <c r="N13" s="6">
        <f t="shared" ref="N13:N17" si="4">$K$12*M13+$K$13</f>
        <v>1.2604</v>
      </c>
      <c r="O13" s="6"/>
      <c r="P13" s="33"/>
      <c r="Q13" s="15">
        <v>60</v>
      </c>
      <c r="R13" s="17">
        <f>N13/$N$15</f>
        <v>1.0315083067354121</v>
      </c>
      <c r="S13" s="36"/>
    </row>
    <row r="14" spans="1:19" x14ac:dyDescent="0.25">
      <c r="B14" t="s">
        <v>326</v>
      </c>
      <c r="C14">
        <f t="shared" si="1"/>
        <v>8</v>
      </c>
      <c r="D14">
        <f t="shared" si="2"/>
        <v>55.961199999999998</v>
      </c>
      <c r="E14">
        <f t="shared" si="3"/>
        <v>1.2770999999999999</v>
      </c>
      <c r="G14" t="s">
        <v>112</v>
      </c>
      <c r="H14">
        <f t="shared" si="0"/>
        <v>19</v>
      </c>
      <c r="M14">
        <v>70</v>
      </c>
      <c r="N14" s="6">
        <f t="shared" si="4"/>
        <v>1.2254</v>
      </c>
      <c r="O14" s="6"/>
      <c r="P14" s="33"/>
      <c r="Q14" s="15">
        <v>70</v>
      </c>
      <c r="R14" s="17">
        <f>N14/$N$15</f>
        <v>1.0028643915214011</v>
      </c>
      <c r="S14" s="36"/>
    </row>
    <row r="15" spans="1:19" x14ac:dyDescent="0.25">
      <c r="B15" t="s">
        <v>327</v>
      </c>
      <c r="C15">
        <f t="shared" si="1"/>
        <v>8</v>
      </c>
      <c r="D15">
        <f t="shared" si="2"/>
        <v>57.837600000000002</v>
      </c>
      <c r="E15">
        <f t="shared" si="3"/>
        <v>1.2709999999999999</v>
      </c>
      <c r="G15" t="s">
        <v>113</v>
      </c>
      <c r="H15">
        <f t="shared" si="0"/>
        <v>18</v>
      </c>
      <c r="M15">
        <v>71</v>
      </c>
      <c r="N15" s="6">
        <f t="shared" si="4"/>
        <v>1.2219</v>
      </c>
      <c r="O15" s="6"/>
      <c r="P15" s="33"/>
      <c r="Q15" s="15">
        <v>80</v>
      </c>
      <c r="R15" s="17">
        <f>N16/$N$15</f>
        <v>0.97422047630739006</v>
      </c>
      <c r="S15" s="36"/>
    </row>
    <row r="16" spans="1:19" x14ac:dyDescent="0.25">
      <c r="B16" t="s">
        <v>328</v>
      </c>
      <c r="C16">
        <f t="shared" si="1"/>
        <v>8</v>
      </c>
      <c r="D16">
        <f t="shared" si="2"/>
        <v>59.713999999999999</v>
      </c>
      <c r="E16">
        <f t="shared" si="3"/>
        <v>1.2642</v>
      </c>
      <c r="G16" t="s">
        <v>114</v>
      </c>
      <c r="H16">
        <f t="shared" si="0"/>
        <v>19</v>
      </c>
      <c r="M16">
        <v>80</v>
      </c>
      <c r="N16" s="6">
        <f t="shared" si="4"/>
        <v>1.1903999999999999</v>
      </c>
      <c r="O16" s="6"/>
      <c r="P16" s="33"/>
      <c r="Q16" s="15">
        <v>90</v>
      </c>
      <c r="R16" s="17">
        <f>N17/$N$15</f>
        <v>0.94557656109337918</v>
      </c>
      <c r="S16" s="36"/>
    </row>
    <row r="17" spans="2:19" x14ac:dyDescent="0.25">
      <c r="B17" t="s">
        <v>329</v>
      </c>
      <c r="C17">
        <f t="shared" si="1"/>
        <v>8</v>
      </c>
      <c r="D17">
        <f t="shared" si="2"/>
        <v>61.590299999999999</v>
      </c>
      <c r="E17">
        <f t="shared" si="3"/>
        <v>1.2568999999999999</v>
      </c>
      <c r="G17" t="s">
        <v>115</v>
      </c>
      <c r="H17">
        <f t="shared" si="0"/>
        <v>19</v>
      </c>
      <c r="M17">
        <v>90</v>
      </c>
      <c r="N17" s="6">
        <f t="shared" si="4"/>
        <v>1.1554</v>
      </c>
      <c r="O17" s="6"/>
      <c r="P17" s="33"/>
      <c r="Q17" s="13"/>
      <c r="R17" s="13"/>
      <c r="S17" s="36"/>
    </row>
    <row r="18" spans="2:19" x14ac:dyDescent="0.25">
      <c r="B18" t="s">
        <v>330</v>
      </c>
      <c r="C18">
        <f t="shared" si="1"/>
        <v>8</v>
      </c>
      <c r="D18">
        <f t="shared" si="2"/>
        <v>63.466700000000003</v>
      </c>
      <c r="E18">
        <f t="shared" si="3"/>
        <v>1.2503</v>
      </c>
      <c r="G18" t="s">
        <v>116</v>
      </c>
      <c r="H18">
        <f t="shared" si="0"/>
        <v>19</v>
      </c>
      <c r="P18" s="33"/>
      <c r="Q18" s="16" t="s">
        <v>345</v>
      </c>
      <c r="R18" s="13"/>
      <c r="S18" s="36"/>
    </row>
    <row r="19" spans="2:19" x14ac:dyDescent="0.25">
      <c r="B19" t="s">
        <v>331</v>
      </c>
      <c r="C19">
        <f t="shared" si="1"/>
        <v>8</v>
      </c>
      <c r="D19">
        <f t="shared" si="2"/>
        <v>65.343100000000007</v>
      </c>
      <c r="E19">
        <f t="shared" si="3"/>
        <v>1.2442</v>
      </c>
      <c r="G19" t="s">
        <v>117</v>
      </c>
      <c r="H19">
        <f t="shared" si="0"/>
        <v>19</v>
      </c>
      <c r="P19" s="33"/>
      <c r="Q19" s="15" t="s">
        <v>0</v>
      </c>
      <c r="R19" s="15">
        <v>-2.8E-3</v>
      </c>
      <c r="S19" s="36"/>
    </row>
    <row r="20" spans="2:19" x14ac:dyDescent="0.25">
      <c r="B20" t="s">
        <v>332</v>
      </c>
      <c r="C20">
        <f t="shared" si="1"/>
        <v>8</v>
      </c>
      <c r="D20">
        <f t="shared" si="2"/>
        <v>67.219499999999996</v>
      </c>
      <c r="E20">
        <f t="shared" si="3"/>
        <v>1.2377</v>
      </c>
      <c r="G20" t="s">
        <v>118</v>
      </c>
      <c r="H20">
        <f t="shared" si="0"/>
        <v>19</v>
      </c>
      <c r="P20" s="33"/>
      <c r="Q20" s="15" t="s">
        <v>213</v>
      </c>
      <c r="R20" s="15">
        <v>1.198</v>
      </c>
      <c r="S20" s="36"/>
    </row>
    <row r="21" spans="2:19" ht="15.75" thickBot="1" x14ac:dyDescent="0.3">
      <c r="B21" t="s">
        <v>333</v>
      </c>
      <c r="C21">
        <f t="shared" si="1"/>
        <v>8</v>
      </c>
      <c r="D21">
        <f t="shared" si="2"/>
        <v>69.095799999999997</v>
      </c>
      <c r="E21">
        <f t="shared" si="3"/>
        <v>1.2305999999999999</v>
      </c>
      <c r="G21" t="s">
        <v>119</v>
      </c>
      <c r="H21">
        <f t="shared" si="0"/>
        <v>19</v>
      </c>
      <c r="P21" s="38"/>
      <c r="Q21" s="39"/>
      <c r="R21" s="39"/>
      <c r="S21" s="40"/>
    </row>
    <row r="22" spans="2:19" x14ac:dyDescent="0.25">
      <c r="B22" t="s">
        <v>334</v>
      </c>
      <c r="C22">
        <f t="shared" si="1"/>
        <v>8</v>
      </c>
      <c r="D22">
        <f t="shared" si="2"/>
        <v>70.972200000000001</v>
      </c>
      <c r="E22">
        <f t="shared" si="3"/>
        <v>1.2244999999999999</v>
      </c>
      <c r="G22" t="s">
        <v>120</v>
      </c>
      <c r="H22">
        <f t="shared" si="0"/>
        <v>19</v>
      </c>
    </row>
    <row r="23" spans="2:19" x14ac:dyDescent="0.25">
      <c r="B23" t="s">
        <v>335</v>
      </c>
      <c r="C23">
        <f t="shared" si="1"/>
        <v>8</v>
      </c>
      <c r="D23">
        <f t="shared" si="2"/>
        <v>72.848600000000005</v>
      </c>
      <c r="E23">
        <f t="shared" si="3"/>
        <v>1.2181999999999999</v>
      </c>
      <c r="G23" t="s">
        <v>121</v>
      </c>
      <c r="H23">
        <f t="shared" si="0"/>
        <v>19</v>
      </c>
    </row>
    <row r="24" spans="2:19" x14ac:dyDescent="0.25">
      <c r="B24" t="s">
        <v>336</v>
      </c>
      <c r="C24">
        <f t="shared" si="1"/>
        <v>8</v>
      </c>
      <c r="D24">
        <f t="shared" si="2"/>
        <v>74.724999999999994</v>
      </c>
      <c r="E24">
        <f t="shared" si="3"/>
        <v>1.2114</v>
      </c>
      <c r="G24" t="s">
        <v>122</v>
      </c>
      <c r="H24">
        <f t="shared" si="0"/>
        <v>19</v>
      </c>
    </row>
    <row r="25" spans="2:19" x14ac:dyDescent="0.25">
      <c r="B25" t="s">
        <v>337</v>
      </c>
      <c r="C25">
        <f t="shared" si="1"/>
        <v>8</v>
      </c>
      <c r="D25">
        <f t="shared" si="2"/>
        <v>76.601299999999995</v>
      </c>
      <c r="E25">
        <f t="shared" si="3"/>
        <v>1.2048000000000001</v>
      </c>
      <c r="G25" t="s">
        <v>123</v>
      </c>
      <c r="H25">
        <f t="shared" si="0"/>
        <v>18</v>
      </c>
    </row>
    <row r="26" spans="2:19" x14ac:dyDescent="0.25">
      <c r="B26" t="s">
        <v>338</v>
      </c>
      <c r="C26">
        <f t="shared" si="1"/>
        <v>8</v>
      </c>
      <c r="D26">
        <f t="shared" si="2"/>
        <v>78.477800000000002</v>
      </c>
      <c r="E26">
        <f t="shared" si="3"/>
        <v>1.1990000000000001</v>
      </c>
      <c r="G26" t="s">
        <v>124</v>
      </c>
      <c r="H26">
        <f t="shared" si="0"/>
        <v>18</v>
      </c>
    </row>
    <row r="27" spans="2:19" x14ac:dyDescent="0.25">
      <c r="B27" t="s">
        <v>339</v>
      </c>
      <c r="C27">
        <f t="shared" si="1"/>
        <v>8</v>
      </c>
      <c r="D27">
        <f t="shared" si="2"/>
        <v>80.354200000000006</v>
      </c>
      <c r="E27">
        <f t="shared" si="3"/>
        <v>1.1927000000000001</v>
      </c>
      <c r="G27" t="s">
        <v>125</v>
      </c>
      <c r="H27">
        <f t="shared" si="0"/>
        <v>18</v>
      </c>
    </row>
    <row r="28" spans="2:19" x14ac:dyDescent="0.25">
      <c r="B28" t="s">
        <v>340</v>
      </c>
      <c r="C28">
        <f t="shared" si="1"/>
        <v>8</v>
      </c>
      <c r="D28">
        <f t="shared" si="2"/>
        <v>82.230599999999995</v>
      </c>
      <c r="E28">
        <f t="shared" si="3"/>
        <v>1.1862999999999999</v>
      </c>
      <c r="G28" t="s">
        <v>126</v>
      </c>
      <c r="H28">
        <f t="shared" si="0"/>
        <v>19</v>
      </c>
    </row>
    <row r="29" spans="2:19" x14ac:dyDescent="0.25">
      <c r="B29" t="s">
        <v>341</v>
      </c>
      <c r="C29">
        <f t="shared" si="1"/>
        <v>8</v>
      </c>
      <c r="D29">
        <f t="shared" si="2"/>
        <v>84.106899999999996</v>
      </c>
      <c r="E29">
        <f t="shared" si="3"/>
        <v>1.1795</v>
      </c>
      <c r="G29" t="s">
        <v>127</v>
      </c>
      <c r="H29">
        <f t="shared" si="0"/>
        <v>19</v>
      </c>
    </row>
    <row r="30" spans="2:19" x14ac:dyDescent="0.25">
      <c r="B30" t="s">
        <v>342</v>
      </c>
      <c r="C30">
        <f t="shared" si="1"/>
        <v>8</v>
      </c>
      <c r="D30">
        <f t="shared" si="2"/>
        <v>85.983400000000003</v>
      </c>
      <c r="E30">
        <f t="shared" si="3"/>
        <v>1.1737</v>
      </c>
      <c r="G30" t="s">
        <v>128</v>
      </c>
      <c r="H30">
        <f t="shared" si="0"/>
        <v>19</v>
      </c>
    </row>
    <row r="31" spans="2:19" x14ac:dyDescent="0.25">
      <c r="B31" t="s">
        <v>343</v>
      </c>
      <c r="C31">
        <f t="shared" si="1"/>
        <v>8</v>
      </c>
      <c r="D31">
        <f t="shared" si="2"/>
        <v>87.859800000000007</v>
      </c>
      <c r="E31">
        <f t="shared" si="3"/>
        <v>1.1678999999999999</v>
      </c>
      <c r="G31" t="s">
        <v>129</v>
      </c>
      <c r="H31">
        <f t="shared" si="0"/>
        <v>19</v>
      </c>
    </row>
    <row r="32" spans="2:19" x14ac:dyDescent="0.25">
      <c r="B32" t="s">
        <v>344</v>
      </c>
      <c r="C32">
        <f t="shared" si="1"/>
        <v>8</v>
      </c>
      <c r="D32">
        <f t="shared" si="2"/>
        <v>89.4803</v>
      </c>
      <c r="E32">
        <f t="shared" si="3"/>
        <v>1.1619999999999999</v>
      </c>
      <c r="G32" t="s">
        <v>130</v>
      </c>
      <c r="H32">
        <f t="shared" si="0"/>
        <v>19</v>
      </c>
    </row>
    <row r="33" spans="7:8" x14ac:dyDescent="0.25">
      <c r="G33" t="s">
        <v>131</v>
      </c>
      <c r="H33">
        <f t="shared" si="0"/>
        <v>18</v>
      </c>
    </row>
    <row r="34" spans="7:8" x14ac:dyDescent="0.25">
      <c r="G34" t="s">
        <v>132</v>
      </c>
      <c r="H34">
        <f t="shared" si="0"/>
        <v>18</v>
      </c>
    </row>
    <row r="35" spans="7:8" x14ac:dyDescent="0.25">
      <c r="G35" t="s">
        <v>133</v>
      </c>
      <c r="H35">
        <f t="shared" si="0"/>
        <v>19</v>
      </c>
    </row>
    <row r="36" spans="7:8" x14ac:dyDescent="0.25">
      <c r="G36" t="s">
        <v>134</v>
      </c>
      <c r="H36">
        <f t="shared" si="0"/>
        <v>18</v>
      </c>
    </row>
    <row r="37" spans="7:8" x14ac:dyDescent="0.25">
      <c r="G37" t="s">
        <v>135</v>
      </c>
      <c r="H37">
        <f t="shared" si="0"/>
        <v>18</v>
      </c>
    </row>
    <row r="38" spans="7:8" x14ac:dyDescent="0.25">
      <c r="G38" t="s">
        <v>136</v>
      </c>
      <c r="H38">
        <f t="shared" si="0"/>
        <v>18</v>
      </c>
    </row>
    <row r="39" spans="7:8" x14ac:dyDescent="0.25">
      <c r="G39" t="s">
        <v>137</v>
      </c>
      <c r="H39">
        <f t="shared" si="0"/>
        <v>19</v>
      </c>
    </row>
    <row r="40" spans="7:8" x14ac:dyDescent="0.25">
      <c r="G40" t="s">
        <v>138</v>
      </c>
      <c r="H40">
        <f t="shared" si="0"/>
        <v>19</v>
      </c>
    </row>
    <row r="41" spans="7:8" x14ac:dyDescent="0.25">
      <c r="G41" t="s">
        <v>139</v>
      </c>
      <c r="H41">
        <f t="shared" si="0"/>
        <v>18</v>
      </c>
    </row>
    <row r="42" spans="7:8" x14ac:dyDescent="0.25">
      <c r="G42" t="s">
        <v>140</v>
      </c>
      <c r="H42">
        <f t="shared" si="0"/>
        <v>19</v>
      </c>
    </row>
    <row r="43" spans="7:8" x14ac:dyDescent="0.25">
      <c r="G43" t="s">
        <v>141</v>
      </c>
      <c r="H43">
        <f t="shared" si="0"/>
        <v>18</v>
      </c>
    </row>
    <row r="44" spans="7:8" x14ac:dyDescent="0.25">
      <c r="G44" t="s">
        <v>142</v>
      </c>
      <c r="H44">
        <f t="shared" ref="H44:H75" si="5">FIND(",",G44)</f>
        <v>19</v>
      </c>
    </row>
    <row r="45" spans="7:8" x14ac:dyDescent="0.25">
      <c r="G45" t="s">
        <v>143</v>
      </c>
      <c r="H45">
        <f t="shared" si="5"/>
        <v>19</v>
      </c>
    </row>
    <row r="46" spans="7:8" x14ac:dyDescent="0.25">
      <c r="G46" t="s">
        <v>144</v>
      </c>
      <c r="H46">
        <f t="shared" si="5"/>
        <v>18</v>
      </c>
    </row>
    <row r="47" spans="7:8" x14ac:dyDescent="0.25">
      <c r="G47" t="s">
        <v>145</v>
      </c>
      <c r="H47">
        <f t="shared" si="5"/>
        <v>19</v>
      </c>
    </row>
    <row r="48" spans="7:8" x14ac:dyDescent="0.25">
      <c r="G48" t="s">
        <v>146</v>
      </c>
      <c r="H48">
        <f t="shared" si="5"/>
        <v>18</v>
      </c>
    </row>
    <row r="49" spans="7:8" x14ac:dyDescent="0.25">
      <c r="G49" t="s">
        <v>147</v>
      </c>
      <c r="H49">
        <f t="shared" si="5"/>
        <v>18</v>
      </c>
    </row>
    <row r="50" spans="7:8" x14ac:dyDescent="0.25">
      <c r="G50" t="s">
        <v>148</v>
      </c>
      <c r="H50">
        <f t="shared" si="5"/>
        <v>19</v>
      </c>
    </row>
    <row r="51" spans="7:8" x14ac:dyDescent="0.25">
      <c r="G51" t="s">
        <v>149</v>
      </c>
      <c r="H51">
        <f t="shared" si="5"/>
        <v>18</v>
      </c>
    </row>
    <row r="52" spans="7:8" x14ac:dyDescent="0.25">
      <c r="G52" t="s">
        <v>150</v>
      </c>
      <c r="H52">
        <f t="shared" si="5"/>
        <v>19</v>
      </c>
    </row>
    <row r="53" spans="7:8" x14ac:dyDescent="0.25">
      <c r="G53" t="s">
        <v>151</v>
      </c>
      <c r="H53">
        <f t="shared" si="5"/>
        <v>18</v>
      </c>
    </row>
    <row r="54" spans="7:8" x14ac:dyDescent="0.25">
      <c r="G54" t="s">
        <v>152</v>
      </c>
      <c r="H54">
        <f t="shared" si="5"/>
        <v>18</v>
      </c>
    </row>
    <row r="55" spans="7:8" x14ac:dyDescent="0.25">
      <c r="G55" t="s">
        <v>153</v>
      </c>
      <c r="H55">
        <f t="shared" si="5"/>
        <v>18</v>
      </c>
    </row>
    <row r="56" spans="7:8" x14ac:dyDescent="0.25">
      <c r="G56" t="s">
        <v>154</v>
      </c>
      <c r="H56">
        <f t="shared" si="5"/>
        <v>18</v>
      </c>
    </row>
    <row r="57" spans="7:8" x14ac:dyDescent="0.25">
      <c r="G57" t="s">
        <v>155</v>
      </c>
      <c r="H57">
        <f t="shared" si="5"/>
        <v>18</v>
      </c>
    </row>
    <row r="58" spans="7:8" x14ac:dyDescent="0.25">
      <c r="G58" t="s">
        <v>156</v>
      </c>
      <c r="H58">
        <f t="shared" si="5"/>
        <v>18</v>
      </c>
    </row>
    <row r="59" spans="7:8" x14ac:dyDescent="0.25">
      <c r="G59" t="s">
        <v>157</v>
      </c>
      <c r="H59">
        <f t="shared" si="5"/>
        <v>18</v>
      </c>
    </row>
    <row r="60" spans="7:8" x14ac:dyDescent="0.25">
      <c r="G60" t="s">
        <v>158</v>
      </c>
      <c r="H60">
        <f t="shared" si="5"/>
        <v>18</v>
      </c>
    </row>
    <row r="61" spans="7:8" x14ac:dyDescent="0.25">
      <c r="G61" t="s">
        <v>159</v>
      </c>
      <c r="H61">
        <f t="shared" si="5"/>
        <v>18</v>
      </c>
    </row>
    <row r="62" spans="7:8" x14ac:dyDescent="0.25">
      <c r="G62" t="s">
        <v>160</v>
      </c>
      <c r="H62">
        <f t="shared" si="5"/>
        <v>18</v>
      </c>
    </row>
    <row r="63" spans="7:8" x14ac:dyDescent="0.25">
      <c r="G63" t="s">
        <v>161</v>
      </c>
      <c r="H63">
        <f t="shared" si="5"/>
        <v>17</v>
      </c>
    </row>
    <row r="64" spans="7:8" x14ac:dyDescent="0.25">
      <c r="G64" t="s">
        <v>162</v>
      </c>
      <c r="H64">
        <f t="shared" si="5"/>
        <v>18</v>
      </c>
    </row>
    <row r="65" spans="7:8" x14ac:dyDescent="0.25">
      <c r="G65" t="s">
        <v>163</v>
      </c>
      <c r="H65">
        <f t="shared" si="5"/>
        <v>18</v>
      </c>
    </row>
    <row r="66" spans="7:8" x14ac:dyDescent="0.25">
      <c r="G66" t="s">
        <v>164</v>
      </c>
      <c r="H66">
        <f t="shared" si="5"/>
        <v>18</v>
      </c>
    </row>
    <row r="67" spans="7:8" x14ac:dyDescent="0.25">
      <c r="G67" t="s">
        <v>165</v>
      </c>
      <c r="H67">
        <f t="shared" si="5"/>
        <v>18</v>
      </c>
    </row>
    <row r="68" spans="7:8" x14ac:dyDescent="0.25">
      <c r="G68" t="s">
        <v>166</v>
      </c>
      <c r="H68">
        <f t="shared" si="5"/>
        <v>18</v>
      </c>
    </row>
  </sheetData>
  <mergeCells count="3">
    <mergeCell ref="D10:E10"/>
    <mergeCell ref="M10:N10"/>
    <mergeCell ref="Q10:R10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pCMB age</vt:lpstr>
      <vt:lpstr>outcome IVT delay</vt:lpstr>
      <vt:lpstr>Utility weights</vt:lpstr>
      <vt:lpstr>Outcome age</vt:lpstr>
      <vt:lpstr>outcome sICH</vt:lpstr>
      <vt:lpstr>OR IVT effect age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Ludwig Schlemm</dc:creator>
  <cp:lastModifiedBy>Ludwig Schlemm</cp:lastModifiedBy>
  <dcterms:created xsi:type="dcterms:W3CDTF">2019-02-05T10:39:27Z</dcterms:created>
  <dcterms:modified xsi:type="dcterms:W3CDTF">2019-05-06T20:30:36Z</dcterms:modified>
</cp:coreProperties>
</file>